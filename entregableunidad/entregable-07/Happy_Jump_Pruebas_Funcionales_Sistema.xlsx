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78" firstSheet="4" activeTab="4" autoFilterDateGrouping="1"/>
  </bookViews>
  <sheets>
    <sheet name="Plan de Pruebas" sheetId="1" state="visible" r:id="rId1"/>
    <sheet name="Casos de Prueba" sheetId="2" state="visible" r:id="rId2"/>
    <sheet name="Defectos" sheetId="3" state="visible" r:id="rId3"/>
    <sheet name="Métricas" sheetId="4" state="visible" r:id="rId4"/>
    <sheet name="Guía de Uso" sheetId="5" state="visible" r:id="rId5"/>
  </sheets>
  <definedNames/>
  <calcPr calcId="191028" fullCalcOnLoad="1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23">
    <font>
      <name val="Calibri"/>
      <charset val="1"/>
      <family val="2"/>
      <color theme="1"/>
      <sz val="11"/>
    </font>
    <font>
      <name val="Arial"/>
      <charset val="1"/>
      <b val="1"/>
      <color rgb="FFFFFFFF"/>
      <sz val="20"/>
    </font>
    <font>
      <name val="Arial"/>
      <charset val="1"/>
      <color rgb="FFFFFFFF"/>
      <sz val="11"/>
    </font>
    <font>
      <name val="Arial"/>
      <charset val="1"/>
      <b val="1"/>
      <color rgb="FFFFFFFF"/>
      <sz val="11"/>
    </font>
    <font>
      <name val="Arial"/>
      <charset val="1"/>
      <b val="1"/>
      <color rgb="FF000000"/>
      <sz val="10"/>
    </font>
    <font>
      <name val="Arial"/>
      <charset val="1"/>
      <color rgb="FF1E3A5F"/>
      <sz val="10"/>
    </font>
    <font>
      <name val="Arial"/>
      <charset val="1"/>
      <b val="1"/>
      <color rgb="FFFFFFFF"/>
      <sz val="10"/>
    </font>
    <font>
      <name val="Arial"/>
      <charset val="1"/>
      <b val="1"/>
      <color rgb="FF1E3A5F"/>
      <sz val="11"/>
    </font>
    <font>
      <name val="Arial"/>
      <charset val="1"/>
      <b val="1"/>
      <color rgb="FF16A34A"/>
      <sz val="10"/>
    </font>
    <font>
      <name val="Arial"/>
      <charset val="1"/>
      <color rgb="FF000000"/>
      <sz val="10"/>
    </font>
    <font>
      <name val="Arial"/>
      <charset val="1"/>
      <b val="1"/>
      <color rgb="FFDC2626"/>
      <sz val="10"/>
    </font>
    <font>
      <name val="Arial"/>
      <charset val="1"/>
      <b val="1"/>
      <color rgb="FFD97706"/>
      <sz val="10"/>
    </font>
    <font>
      <name val="Arial"/>
      <charset val="1"/>
      <b val="1"/>
      <color rgb="FF2563EB"/>
      <sz val="10"/>
    </font>
    <font>
      <name val="Arial"/>
      <charset val="1"/>
      <b val="1"/>
      <color rgb="FF6B7280"/>
      <sz val="10"/>
    </font>
    <font>
      <name val="Arial"/>
      <charset val="1"/>
      <b val="1"/>
      <color rgb="FFFFFFFF"/>
      <sz val="14"/>
    </font>
    <font>
      <name val="Arial"/>
      <charset val="1"/>
      <color rgb="FF64748B"/>
      <sz val="10"/>
    </font>
    <font>
      <name val="Arial"/>
      <charset val="1"/>
      <b val="1"/>
      <color rgb="FFFFFFFF"/>
      <sz val="16"/>
    </font>
    <font>
      <name val="Arial"/>
      <charset val="1"/>
      <b val="1"/>
      <color rgb="FFFFFFFF"/>
      <sz val="28"/>
    </font>
    <font>
      <name val="Arial"/>
      <charset val="1"/>
      <family val="2"/>
      <color rgb="FF000000"/>
      <sz val="10"/>
    </font>
    <font>
      <name val="Arial"/>
      <charset val="1"/>
      <family val="2"/>
      <b val="1"/>
      <color rgb="FF000000"/>
      <sz val="10"/>
    </font>
    <font>
      <name val="Arial"/>
      <family val="2"/>
      <color rgb="FF000000"/>
      <sz val="10"/>
    </font>
    <font>
      <name val="Arial"/>
      <family val="2"/>
      <b val="1"/>
      <color rgb="FF000000"/>
      <sz val="10"/>
    </font>
    <font>
      <b val="1"/>
      <sz val="14"/>
    </font>
  </fonts>
  <fills count="16">
    <fill>
      <patternFill/>
    </fill>
    <fill>
      <patternFill patternType="gray125"/>
    </fill>
    <fill>
      <patternFill patternType="solid">
        <fgColor rgb="FF0F6E56"/>
        <bgColor rgb="FF14532D"/>
      </patternFill>
    </fill>
    <fill>
      <patternFill patternType="solid">
        <fgColor rgb="FF1D9E75"/>
        <bgColor rgb="FF16A34A"/>
      </patternFill>
    </fill>
    <fill>
      <patternFill patternType="solid">
        <fgColor rgb="FF1E3A5F"/>
        <bgColor rgb="FF374151"/>
      </patternFill>
    </fill>
    <fill>
      <patternFill patternType="solid">
        <fgColor rgb="FFF1F5F9"/>
        <bgColor rgb="FFF3F4F6"/>
      </patternFill>
    </fill>
    <fill>
      <patternFill patternType="solid">
        <fgColor rgb="FFFFFFFF"/>
        <bgColor rgb="FFF1F5F9"/>
      </patternFill>
    </fill>
    <fill>
      <patternFill patternType="solid">
        <fgColor rgb="FFCCFBF1"/>
        <bgColor rgb="FFDCFCE7"/>
      </patternFill>
    </fill>
    <fill>
      <patternFill patternType="solid">
        <fgColor rgb="FFDCFCE7"/>
        <bgColor rgb="FFCCFBF1"/>
      </patternFill>
    </fill>
    <fill>
      <patternFill patternType="solid">
        <fgColor rgb="FFFEE2E2"/>
        <bgColor rgb="FFFEF3C7"/>
      </patternFill>
    </fill>
    <fill>
      <patternFill patternType="solid">
        <fgColor rgb="FFFEF3C7"/>
        <bgColor rgb="FFFEE2E2"/>
      </patternFill>
    </fill>
    <fill>
      <patternFill patternType="solid">
        <fgColor rgb="FFDBEAFE"/>
        <bgColor rgb="FFF1F5F9"/>
      </patternFill>
    </fill>
    <fill>
      <patternFill patternType="solid">
        <fgColor rgb="FFF3F4F6"/>
        <bgColor rgb="FFF1F5F9"/>
      </patternFill>
    </fill>
    <fill>
      <patternFill patternType="solid">
        <fgColor rgb="FF16A34A"/>
        <bgColor rgb="FF1D9E75"/>
      </patternFill>
    </fill>
    <fill>
      <patternFill patternType="solid">
        <fgColor rgb="FFDC2626"/>
        <bgColor rgb="FF993366"/>
      </patternFill>
    </fill>
    <fill>
      <patternFill patternType="solid">
        <fgColor rgb="FFD97706"/>
        <bgColor rgb="FFFF9900"/>
      </patternFill>
    </fill>
  </fills>
  <borders count="5">
    <border>
      <left/>
      <right/>
      <top/>
      <bottom/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/>
      <diagonal/>
    </border>
    <border>
      <left/>
      <right/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6" fillId="3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164" fontId="7" fillId="7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10" fillId="9" borderId="2" applyAlignment="1" pivotButton="0" quotePrefix="0" xfId="0">
      <alignment horizontal="center" vertical="center"/>
    </xf>
    <xf numFmtId="0" fontId="11" fillId="10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center" vertical="center"/>
    </xf>
    <xf numFmtId="0" fontId="13" fillId="12" borderId="2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left" vertical="center" wrapText="1"/>
    </xf>
    <xf numFmtId="0" fontId="9" fillId="6" borderId="2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0" fontId="9" fillId="5" borderId="2" applyAlignment="1" pivotButton="0" quotePrefix="0" xfId="0">
      <alignment horizontal="center" vertical="center"/>
    </xf>
    <xf numFmtId="164" fontId="4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0" fontId="9" fillId="6" borderId="2" applyAlignment="1" pivotButton="0" quotePrefix="0" xfId="0">
      <alignment horizontal="center" vertical="center"/>
    </xf>
    <xf numFmtId="164" fontId="4" fillId="6" borderId="2" applyAlignment="1" pivotButton="0" quotePrefix="0" xfId="0">
      <alignment horizontal="center" vertical="center"/>
    </xf>
    <xf numFmtId="0" fontId="9" fillId="9" borderId="2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9" fillId="11" borderId="2" applyAlignment="1" pivotButton="0" quotePrefix="0" xfId="0">
      <alignment horizontal="center" vertical="center"/>
    </xf>
    <xf numFmtId="0" fontId="9" fillId="8" borderId="2" applyAlignment="1" pivotButton="0" quotePrefix="0" xfId="0">
      <alignment horizontal="center" vertical="center"/>
    </xf>
    <xf numFmtId="0" fontId="20" fillId="6" borderId="2" applyAlignment="1" pivotButton="0" quotePrefix="0" xfId="0">
      <alignment horizontal="left" vertical="center" wrapText="1"/>
    </xf>
    <xf numFmtId="0" fontId="18" fillId="6" borderId="2" applyAlignment="1" pivotButton="0" quotePrefix="0" xfId="0">
      <alignment horizontal="left" vertical="center" wrapText="1"/>
    </xf>
    <xf numFmtId="0" fontId="20" fillId="5" borderId="2" applyAlignment="1" pivotButton="0" quotePrefix="0" xfId="0">
      <alignment horizontal="left" vertical="center" wrapText="1"/>
    </xf>
    <xf numFmtId="0" fontId="18" fillId="5" borderId="2" applyAlignment="1" pivotButton="0" quotePrefix="0" xfId="0">
      <alignment horizontal="left" vertical="center" wrapText="1"/>
    </xf>
    <xf numFmtId="0" fontId="21" fillId="6" borderId="2" applyAlignment="1" pivotButton="0" quotePrefix="0" xfId="0">
      <alignment horizontal="left" vertical="center"/>
    </xf>
    <xf numFmtId="0" fontId="9" fillId="6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16" fillId="2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15" fillId="5" borderId="0" applyAlignment="1" pivotButton="0" quotePrefix="0" xfId="0">
      <alignment horizontal="center" vertical="center"/>
    </xf>
    <xf numFmtId="0" fontId="14" fillId="4" borderId="0" applyAlignment="1" pivotButton="0" quotePrefix="0" xfId="0">
      <alignment horizontal="center" vertical="center"/>
    </xf>
    <xf numFmtId="0" fontId="17" fillId="2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/>
    </xf>
    <xf numFmtId="0" fontId="17" fillId="13" borderId="1" applyAlignment="1" pivotButton="0" quotePrefix="0" xfId="0">
      <alignment horizontal="center" vertical="center"/>
    </xf>
    <xf numFmtId="0" fontId="17" fillId="14" borderId="1" applyAlignment="1" pivotButton="0" quotePrefix="0" xfId="0">
      <alignment horizontal="center" vertical="center"/>
    </xf>
    <xf numFmtId="0" fontId="17" fillId="15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/>
    </xf>
    <xf numFmtId="0" fontId="6" fillId="14" borderId="1" applyAlignment="1" pivotButton="0" quotePrefix="0" xfId="0">
      <alignment horizontal="center" vertical="center"/>
    </xf>
    <xf numFmtId="0" fontId="6" fillId="15" borderId="1" applyAlignment="1" pivotButton="0" quotePrefix="0" xfId="0">
      <alignment horizontal="center" vertical="center"/>
    </xf>
    <xf numFmtId="0" fontId="0" fillId="2" borderId="1" pivotButton="0" quotePrefix="0" xfId="0"/>
    <xf numFmtId="0" fontId="0" fillId="4" borderId="1" pivotButton="0" quotePrefix="0" xfId="0"/>
    <xf numFmtId="0" fontId="0" fillId="13" borderId="1" pivotButton="0" quotePrefix="0" xfId="0"/>
    <xf numFmtId="0" fontId="0" fillId="14" borderId="1" pivotButton="0" quotePrefix="0" xfId="0"/>
    <xf numFmtId="0" fontId="0" fillId="15" borderId="1" pivotButton="0" quotePrefix="0" xfId="0"/>
    <xf numFmtId="0" fontId="0" fillId="0" borderId="4" pivotButton="0" quotePrefix="0" xfId="0"/>
    <xf numFmtId="0" fontId="2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dxfs count="21">
    <dxf>
      <font>
        <name val="Arial"/>
        <charset val="1"/>
        <b val="1"/>
        <color rgb="FF6B7280"/>
        <sz val="10"/>
      </font>
      <fill>
        <patternFill>
          <bgColor rgb="FFF3F4F6"/>
        </patternFill>
      </fill>
    </dxf>
    <dxf>
      <font>
        <name val="Arial"/>
        <charset val="1"/>
        <b val="1"/>
        <color rgb="FF16A34A"/>
        <sz val="10"/>
      </font>
      <fill>
        <patternFill>
          <bgColor rgb="FFDCFCE7"/>
        </patternFill>
      </fill>
    </dxf>
    <dxf>
      <font>
        <name val="Arial"/>
        <charset val="1"/>
        <b val="1"/>
        <color rgb="FF2563EB"/>
        <sz val="10"/>
      </font>
      <fill>
        <patternFill>
          <bgColor rgb="FFDBEAFE"/>
        </patternFill>
      </fill>
    </dxf>
    <dxf>
      <font>
        <name val="Arial"/>
        <charset val="1"/>
        <b val="1"/>
        <color rgb="FFD97706"/>
        <sz val="10"/>
      </font>
      <fill>
        <patternFill>
          <bgColor rgb="FFFEF3C7"/>
        </patternFill>
      </fill>
    </dxf>
    <dxf>
      <font>
        <name val="Arial"/>
        <charset val="1"/>
        <b val="1"/>
        <color rgb="FFDC2626"/>
        <sz val="10"/>
      </font>
      <fill>
        <patternFill>
          <bgColor rgb="FFFEE2E2"/>
        </patternFill>
      </fill>
    </dxf>
    <dxf>
      <font>
        <name val="Arial"/>
        <charset val="1"/>
        <b val="1"/>
        <color rgb="FF16A34A"/>
        <sz val="10"/>
      </font>
      <fill>
        <patternFill>
          <bgColor rgb="FFDCFCE7"/>
        </patternFill>
      </fill>
    </dxf>
    <dxf>
      <font>
        <name val="Arial"/>
        <charset val="1"/>
        <b val="1"/>
        <color rgb="FF2563EB"/>
        <sz val="10"/>
      </font>
      <fill>
        <patternFill>
          <bgColor rgb="FFDBEAFE"/>
        </patternFill>
      </fill>
    </dxf>
    <dxf>
      <font>
        <name val="Arial"/>
        <charset val="1"/>
        <b val="1"/>
        <color rgb="FFD97706"/>
        <sz val="10"/>
      </font>
      <fill>
        <patternFill>
          <bgColor rgb="FFFEF3C7"/>
        </patternFill>
      </fill>
    </dxf>
    <dxf>
      <font>
        <name val="Arial"/>
        <charset val="1"/>
        <b val="1"/>
        <color rgb="FFDC2626"/>
        <sz val="10"/>
      </font>
      <fill>
        <patternFill>
          <bgColor rgb="FFFEE2E2"/>
        </patternFill>
      </fill>
    </dxf>
    <dxf>
      <font>
        <name val="Arial"/>
        <charset val="1"/>
        <b val="1"/>
        <color rgb="FF6B7280"/>
        <sz val="10"/>
      </font>
      <fill>
        <patternFill>
          <bgColor rgb="FFF3F4F6"/>
        </patternFill>
      </fill>
    </dxf>
    <dxf>
      <font>
        <name val="Arial"/>
        <charset val="1"/>
        <b val="1"/>
        <color rgb="FF2563EB"/>
        <sz val="10"/>
      </font>
      <fill>
        <patternFill>
          <bgColor rgb="FFDBEAFE"/>
        </patternFill>
      </fill>
    </dxf>
    <dxf>
      <font>
        <name val="Arial"/>
        <charset val="1"/>
        <b val="1"/>
        <color rgb="FFD97706"/>
        <sz val="10"/>
      </font>
      <fill>
        <patternFill>
          <bgColor rgb="FFFEF3C7"/>
        </patternFill>
      </fill>
    </dxf>
    <dxf>
      <font>
        <name val="Arial"/>
        <charset val="1"/>
        <b val="1"/>
        <color rgb="FFDC2626"/>
        <sz val="10"/>
      </font>
      <fill>
        <patternFill>
          <bgColor rgb="FFFEE2E2"/>
        </patternFill>
      </fill>
    </dxf>
    <dxf>
      <font>
        <name val="Arial"/>
        <charset val="1"/>
        <b val="1"/>
        <color rgb="FF16A34A"/>
        <sz val="10"/>
      </font>
      <fill>
        <patternFill>
          <bgColor rgb="FFDCFCE7"/>
        </patternFill>
      </fill>
    </dxf>
    <dxf>
      <font>
        <name val="Arial"/>
        <charset val="1"/>
        <b val="1"/>
        <color rgb="FF16A34A"/>
        <sz val="10"/>
      </font>
      <fill>
        <patternFill>
          <bgColor rgb="FFDCFCE7"/>
        </patternFill>
      </fill>
    </dxf>
    <dxf>
      <font>
        <name val="Arial"/>
        <charset val="1"/>
        <b val="1"/>
        <color rgb="FFD97706"/>
        <sz val="10"/>
      </font>
      <fill>
        <patternFill>
          <bgColor rgb="FFFEF3C7"/>
        </patternFill>
      </fill>
    </dxf>
    <dxf>
      <font>
        <name val="Arial"/>
        <charset val="1"/>
        <b val="1"/>
        <color rgb="FFDC2626"/>
        <sz val="10"/>
      </font>
      <fill>
        <patternFill>
          <bgColor rgb="FFFEE2E2"/>
        </patternFill>
      </fill>
    </dxf>
    <dxf>
      <font>
        <name val="Arial"/>
        <charset val="1"/>
        <color rgb="FF374151"/>
        <sz val="10"/>
      </font>
      <fill>
        <patternFill>
          <bgColor rgb="FFF3F4F6"/>
        </patternFill>
      </fill>
    </dxf>
    <dxf>
      <font>
        <name val="Arial"/>
        <charset val="1"/>
        <color rgb="FF78350F"/>
        <sz val="10"/>
      </font>
      <fill>
        <patternFill>
          <bgColor rgb="FFFEF3C7"/>
        </patternFill>
      </fill>
    </dxf>
    <dxf>
      <font>
        <name val="Arial"/>
        <charset val="1"/>
        <color rgb="FF7F1D1D"/>
        <sz val="10"/>
      </font>
      <fill>
        <patternFill>
          <bgColor rgb="FFFEE2E2"/>
        </patternFill>
      </fill>
    </dxf>
    <dxf>
      <font>
        <name val="Arial"/>
        <charset val="1"/>
        <color rgb="FF14532D"/>
        <sz val="10"/>
      </font>
      <fill>
        <patternFill>
          <bgColor rgb="FFDCFCE7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7F1D1D"/>
      <rgbColor rgb="FF008000"/>
      <rgbColor rgb="FF000080"/>
      <rgbColor rgb="FF808000"/>
      <rgbColor rgb="FF800080"/>
      <rgbColor rgb="FF0F6E56"/>
      <rgbColor rgb="FFF1F5F9"/>
      <rgbColor rgb="FF6B7280"/>
      <rgbColor rgb="FF9999FF"/>
      <rgbColor rgb="FF993366"/>
      <rgbColor rgb="FFFEF3C7"/>
      <rgbColor rgb="FFCCFBF1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16A34A"/>
      <rgbColor rgb="FF0000FF"/>
      <rgbColor rgb="FF00CCFF"/>
      <rgbColor rgb="FFDCFCE7"/>
      <rgbColor rgb="FFDBEAFE"/>
      <rgbColor rgb="FFF3F4F6"/>
      <rgbColor rgb="FF99CCFF"/>
      <rgbColor rgb="FFFF99CC"/>
      <rgbColor rgb="FFCC99FF"/>
      <rgbColor rgb="FFFEE2E2"/>
      <rgbColor rgb="FF2563EB"/>
      <rgbColor rgb="FF33CCCC"/>
      <rgbColor rgb="FF99CC00"/>
      <rgbColor rgb="FFFFCC00"/>
      <rgbColor rgb="FFFF9900"/>
      <rgbColor rgb="FFD97706"/>
      <rgbColor rgb="FF64748B"/>
      <rgbColor rgb="FF969696"/>
      <rgbColor rgb="FF1E3A5F"/>
      <rgbColor rgb="FF1D9E75"/>
      <rgbColor rgb="FF14532D"/>
      <rgbColor rgb="FF333300"/>
      <rgbColor rgb="FF78350F"/>
      <rgbColor rgb="FF993366"/>
      <rgbColor rgb="FF333399"/>
      <rgbColor rgb="FF37415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10</col>
      <colOff>49726</colOff>
      <row>10</row>
      <rowOff>175259</rowOff>
    </from>
    <to>
      <col>11</col>
      <colOff>0</colOff>
      <row>10</row>
      <rowOff>1464944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4861101" y="6518909"/>
          <a:ext cx="1146614" cy="1293495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24"/>
  <sheetViews>
    <sheetView showGridLines="0" zoomScaleNormal="100" workbookViewId="0">
      <selection activeCell="B3" sqref="B3:L3"/>
    </sheetView>
  </sheetViews>
  <sheetFormatPr baseColWidth="8" defaultColWidth="8.7109375" defaultRowHeight="14.45"/>
  <cols>
    <col width="2" customWidth="1" min="1" max="1"/>
    <col width="22" customWidth="1" min="2" max="2"/>
    <col width="18" customWidth="1" min="3" max="4"/>
    <col width="14" customWidth="1" min="5" max="12"/>
  </cols>
  <sheetData>
    <row r="1" ht="7.5" customHeight="1"/>
    <row r="2" ht="42" customHeight="1">
      <c r="B2" s="37" t="inlineStr">
        <is>
          <t>PLAN DE PRUEBAS — FUNCIONALES Y/O SISTEMA</t>
        </is>
      </c>
    </row>
    <row r="3" ht="21.75" customHeight="1">
      <c r="B3" s="38" t="inlineStr">
        <is>
          <t>Plantilla según estándar IEEE 829 / ISO/IEC 29119</t>
        </is>
      </c>
    </row>
    <row r="4" ht="12" customHeight="1"/>
    <row r="5" ht="21.75" customHeight="1">
      <c r="B5" s="36" t="inlineStr">
        <is>
          <t>INFORMACIÓN DEL PROYECTO</t>
        </is>
      </c>
    </row>
    <row r="6" ht="21.75" customHeight="1">
      <c r="B6" s="34" t="inlineStr">
        <is>
          <t>Proyecto / Sistema:</t>
        </is>
      </c>
      <c r="C6" s="57" t="n"/>
      <c r="D6" s="35" t="inlineStr">
        <is>
          <t>Happy Jump (app móvil + API REST)</t>
        </is>
      </c>
      <c r="E6" s="57" t="n"/>
      <c r="F6" s="57" t="n"/>
      <c r="G6" s="57" t="n"/>
    </row>
    <row r="7" ht="21.75" customHeight="1">
      <c r="B7" s="34" t="inlineStr">
        <is>
          <t>Versión / Release:</t>
        </is>
      </c>
      <c r="C7" s="57" t="n"/>
      <c r="D7" s="35" t="inlineStr">
        <is>
          <t>1.0.0 / entrega final</t>
        </is>
      </c>
      <c r="E7" s="57" t="n"/>
      <c r="F7" s="57" t="n"/>
      <c r="G7" s="57" t="n"/>
    </row>
    <row r="8" ht="21.75" customHeight="1">
      <c r="B8" s="34" t="inlineStr">
        <is>
          <t>Módulo bajo prueba:</t>
        </is>
      </c>
      <c r="C8" s="57" t="n"/>
      <c r="D8" s="35" t="inlineStr">
        <is>
          <t>Login, Cancha, Salones, Reportes, Perfil</t>
        </is>
      </c>
      <c r="E8" s="57" t="n"/>
      <c r="F8" s="57" t="n"/>
      <c r="G8" s="57" t="n"/>
    </row>
    <row r="9" ht="21.75" customHeight="1">
      <c r="B9" s="34" t="inlineStr">
        <is>
          <t>Responsable QA:</t>
        </is>
      </c>
      <c r="C9" s="57" t="n"/>
      <c r="D9" s="35" t="inlineStr">
        <is>
          <t>Equipo Happy Jump</t>
        </is>
      </c>
      <c r="E9" s="57" t="n"/>
      <c r="F9" s="57" t="n"/>
      <c r="G9" s="57" t="n"/>
    </row>
    <row r="10" ht="21.75" customHeight="1">
      <c r="B10" s="34" t="inlineStr">
        <is>
          <t>Fecha inicio:</t>
        </is>
      </c>
      <c r="C10" s="57" t="n"/>
      <c r="D10" s="35" t="inlineStr">
        <is>
          <t>2026-06-02</t>
        </is>
      </c>
      <c r="E10" s="57" t="n"/>
      <c r="F10" s="57" t="n"/>
      <c r="G10" s="57" t="n"/>
    </row>
    <row r="11" ht="21.75" customHeight="1">
      <c r="B11" s="34" t="inlineStr">
        <is>
          <t>Fecha fin planif.</t>
        </is>
      </c>
      <c r="C11" s="57" t="n"/>
      <c r="D11" s="35" t="inlineStr">
        <is>
          <t>2026-06-02</t>
        </is>
      </c>
      <c r="E11" s="57" t="n"/>
      <c r="F11" s="57" t="n"/>
      <c r="G11" s="57" t="n"/>
    </row>
    <row r="12" ht="21.75" customHeight="1">
      <c r="B12" s="34" t="inlineStr">
        <is>
          <t>Entorno de prueba:</t>
        </is>
      </c>
      <c r="C12" s="57" t="n"/>
      <c r="D12" s="35" t="inlineStr">
        <is>
          <t>Android físico/emulador; API Node :3000; MySQL (Laragon)</t>
        </is>
      </c>
      <c r="E12" s="57" t="n"/>
      <c r="F12" s="57" t="n"/>
      <c r="G12" s="57" t="n"/>
    </row>
    <row r="13" ht="21.75" customHeight="1">
      <c r="B13" s="34" t="inlineStr">
        <is>
          <t>Herramientas:</t>
        </is>
      </c>
      <c r="C13" s="57" t="n"/>
      <c r="D13" s="35" t="inlineStr">
        <is>
          <t>Postman, Allure, Jenkins, k6, SonarCloud, Snyk, Excel</t>
        </is>
      </c>
      <c r="E13" s="57" t="n"/>
      <c r="F13" s="57" t="n"/>
      <c r="G13" s="57" t="n"/>
    </row>
    <row r="14" ht="13.5" customHeight="1"/>
    <row r="15" ht="21.75" customHeight="1">
      <c r="B15" s="36" t="inlineStr">
        <is>
          <t>RESUMEN DE RESULTADOS</t>
        </is>
      </c>
    </row>
    <row r="16" ht="19.5" customHeight="1">
      <c r="B16" s="1" t="inlineStr">
        <is>
          <t>Métrica</t>
        </is>
      </c>
      <c r="C16" s="1" t="inlineStr">
        <is>
          <t>Total</t>
        </is>
      </c>
      <c r="D16" s="1" t="inlineStr">
        <is>
          <t>Ejecutados</t>
        </is>
      </c>
      <c r="E16" s="1" t="inlineStr">
        <is>
          <t>Pasados</t>
        </is>
      </c>
      <c r="F16" s="1" t="inlineStr">
        <is>
          <t>Fallidos</t>
        </is>
      </c>
      <c r="G16" s="1" t="inlineStr">
        <is>
          <t>Bloqueados</t>
        </is>
      </c>
      <c r="H16" s="1" t="inlineStr">
        <is>
          <t>Omitidos</t>
        </is>
      </c>
      <c r="I16" s="1" t="inlineStr">
        <is>
          <t>% Avance</t>
        </is>
      </c>
      <c r="J16" s="1" t="inlineStr">
        <is>
          <t>% Éxito</t>
        </is>
      </c>
    </row>
    <row r="17" ht="24" customHeight="1">
      <c r="C17" s="2">
        <f>COUNTA('Casos de Prueba'!A4:A500)</f>
        <v/>
      </c>
      <c r="D17" s="2">
        <f>COUNTIF('Casos de Prueba'!L4:L500,"PASS")+COUNTIF('Casos de Prueba'!L4:L500,"FAIL")+COUNTIF('Casos de Prueba'!L4:L500,"BLOQUEADO")</f>
        <v/>
      </c>
      <c r="E17" s="2">
        <f>COUNTIF('Casos de Prueba'!L4:L500,"PASS")</f>
        <v/>
      </c>
      <c r="F17" s="2">
        <f>COUNTIF('Casos de Prueba'!L4:L500,"FAIL")</f>
        <v/>
      </c>
      <c r="G17" s="2">
        <f>COUNTIF('Casos de Prueba'!L4:L500,"BLOQUEADO")</f>
        <v/>
      </c>
      <c r="H17" s="2">
        <f>COUNTIF('Casos de Prueba'!L4:L500,"OMITIDO")</f>
        <v/>
      </c>
      <c r="I17" s="3">
        <f>IFERROR(C17/B17,"—")</f>
        <v/>
      </c>
      <c r="J17" s="3">
        <f>IFERROR(D17/C17,"—")</f>
        <v/>
      </c>
    </row>
    <row r="18" ht="13.5" customHeight="1"/>
    <row r="19" ht="21.75" customHeight="1">
      <c r="B19" s="36" t="inlineStr">
        <is>
          <t>LEYENDA DE ESTADOS</t>
        </is>
      </c>
    </row>
    <row r="20" ht="19.5" customHeight="1">
      <c r="B20" s="4" t="inlineStr">
        <is>
          <t>PASS</t>
        </is>
      </c>
      <c r="C20" s="28" t="inlineStr">
        <is>
          <t>El caso de prueba fue ejecutado y el resultado es el esperado.</t>
        </is>
      </c>
      <c r="D20" s="57" t="n"/>
      <c r="E20" s="57" t="n"/>
      <c r="F20" s="57" t="n"/>
      <c r="G20" s="57" t="n"/>
      <c r="H20" s="57" t="n"/>
      <c r="I20" s="57" t="n"/>
      <c r="J20" s="57" t="n"/>
      <c r="K20" s="57" t="n"/>
      <c r="L20" s="57" t="n"/>
    </row>
    <row r="21" ht="19.5" customHeight="1">
      <c r="B21" s="5" t="inlineStr">
        <is>
          <t>FAIL</t>
        </is>
      </c>
      <c r="C21" s="28" t="inlineStr">
        <is>
          <t>El caso fue ejecutado y el resultado NO coincide con lo esperado. Se genera defecto.</t>
        </is>
      </c>
      <c r="D21" s="57" t="n"/>
      <c r="E21" s="57" t="n"/>
      <c r="F21" s="57" t="n"/>
      <c r="G21" s="57" t="n"/>
      <c r="H21" s="57" t="n"/>
      <c r="I21" s="57" t="n"/>
      <c r="J21" s="57" t="n"/>
      <c r="K21" s="57" t="n"/>
      <c r="L21" s="57" t="n"/>
    </row>
    <row r="22" ht="19.5" customHeight="1">
      <c r="B22" s="6" t="inlineStr">
        <is>
          <t>BLOQUEADO</t>
        </is>
      </c>
      <c r="C22" s="28" t="inlineStr">
        <is>
          <t>No puede ejecutarse porque otro defecto o dependencia lo impide.</t>
        </is>
      </c>
      <c r="D22" s="57" t="n"/>
      <c r="E22" s="57" t="n"/>
      <c r="F22" s="57" t="n"/>
      <c r="G22" s="57" t="n"/>
      <c r="H22" s="57" t="n"/>
      <c r="I22" s="57" t="n"/>
      <c r="J22" s="57" t="n"/>
      <c r="K22" s="57" t="n"/>
      <c r="L22" s="57" t="n"/>
    </row>
    <row r="23" ht="19.5" customHeight="1">
      <c r="B23" s="7" t="inlineStr">
        <is>
          <t>PENDIENTE</t>
        </is>
      </c>
      <c r="C23" s="28" t="inlineStr">
        <is>
          <t>Aún no ha sido ejecutado en este ciclo de pruebas.</t>
        </is>
      </c>
      <c r="D23" s="57" t="n"/>
      <c r="E23" s="57" t="n"/>
      <c r="F23" s="57" t="n"/>
      <c r="G23" s="57" t="n"/>
      <c r="H23" s="57" t="n"/>
      <c r="I23" s="57" t="n"/>
      <c r="J23" s="57" t="n"/>
      <c r="K23" s="57" t="n"/>
      <c r="L23" s="57" t="n"/>
    </row>
    <row r="24" ht="19.5" customHeight="1">
      <c r="B24" s="8" t="inlineStr">
        <is>
          <t>OMITIDO</t>
        </is>
      </c>
      <c r="C24" s="28" t="inlineStr">
        <is>
          <t>Se decidió no ejecutar en este ciclo (descartado o diferido).</t>
        </is>
      </c>
      <c r="D24" s="57" t="n"/>
      <c r="E24" s="57" t="n"/>
      <c r="F24" s="57" t="n"/>
      <c r="G24" s="57" t="n"/>
      <c r="H24" s="57" t="n"/>
      <c r="I24" s="57" t="n"/>
      <c r="J24" s="57" t="n"/>
      <c r="K24" s="57" t="n"/>
      <c r="L24" s="57" t="n"/>
    </row>
  </sheetData>
  <mergeCells count="26">
    <mergeCell ref="D9:G9"/>
    <mergeCell ref="C23:L23"/>
    <mergeCell ref="B7:C7"/>
    <mergeCell ref="D12:G12"/>
    <mergeCell ref="D8:G8"/>
    <mergeCell ref="B3:L3"/>
    <mergeCell ref="B12:C12"/>
    <mergeCell ref="B11:C11"/>
    <mergeCell ref="B2:L2"/>
    <mergeCell ref="D10:G10"/>
    <mergeCell ref="C24:L24"/>
    <mergeCell ref="B8:C8"/>
    <mergeCell ref="B13:C13"/>
    <mergeCell ref="D6:G6"/>
    <mergeCell ref="B10:C10"/>
    <mergeCell ref="B19:L19"/>
    <mergeCell ref="C20:L20"/>
    <mergeCell ref="D11:G11"/>
    <mergeCell ref="D13:G13"/>
    <mergeCell ref="B9:C9"/>
    <mergeCell ref="B6:C6"/>
    <mergeCell ref="C22:L22"/>
    <mergeCell ref="B5:C5"/>
    <mergeCell ref="B15:L15"/>
    <mergeCell ref="D7:G7"/>
    <mergeCell ref="C21:L21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5"/>
  <sheetViews>
    <sheetView showGridLines="0" zoomScaleNormal="100" workbookViewId="0">
      <pane ySplit="3" topLeftCell="A4" activePane="bottomLeft" state="frozen"/>
      <selection pane="bottomLeft" activeCell="A2" sqref="A2:P2"/>
    </sheetView>
  </sheetViews>
  <sheetFormatPr baseColWidth="8" defaultColWidth="8.7109375" defaultRowHeight="14.45"/>
  <cols>
    <col width="5.85546875" bestFit="1" customWidth="1" min="1" max="1"/>
    <col width="16" customWidth="1" min="2" max="2"/>
    <col width="30" customWidth="1" min="3" max="3"/>
    <col width="14" customWidth="1" min="4" max="4"/>
    <col width="12" customWidth="1" min="5" max="5"/>
    <col width="26" customWidth="1" min="6" max="6"/>
    <col width="24" customWidth="1" min="7" max="7"/>
    <col width="32" customWidth="1" min="8" max="8"/>
    <col width="28" customWidth="1" min="9" max="10"/>
    <col width="18" customWidth="1" min="11" max="11"/>
    <col width="14" customWidth="1" min="12" max="13"/>
    <col width="18" customWidth="1" min="14" max="14"/>
    <col width="16" customWidth="1" min="15" max="15"/>
    <col width="26" customWidth="1" min="16" max="16"/>
  </cols>
  <sheetData>
    <row r="1" ht="31.5" customHeight="1">
      <c r="A1" s="58" t="inlineStr">
        <is>
          <t>CASOS DE PRUEBA — HAPPY JUMP (Funcionales y Sistema)</t>
        </is>
      </c>
    </row>
    <row r="2" ht="18" customHeight="1">
      <c r="A2" s="40" t="inlineStr">
        <is>
          <t>Complete cada campo. El campo 'Resultado' activa el formato condicional automáticamente.</t>
        </is>
      </c>
    </row>
    <row r="3" ht="30" customHeight="1">
      <c r="A3" s="9" t="inlineStr">
        <is>
          <t>ID</t>
        </is>
      </c>
      <c r="B3" s="9" t="inlineStr">
        <is>
          <t>Módulo</t>
        </is>
      </c>
      <c r="C3" s="9" t="inlineStr">
        <is>
          <t>Nombre del Caso</t>
        </is>
      </c>
      <c r="D3" s="9" t="inlineStr">
        <is>
          <t>Tipo</t>
        </is>
      </c>
      <c r="E3" s="9" t="inlineStr">
        <is>
          <t>Prioridad</t>
        </is>
      </c>
      <c r="F3" s="9" t="inlineStr">
        <is>
          <t>Precondiciones</t>
        </is>
      </c>
      <c r="G3" s="9" t="inlineStr">
        <is>
          <t>Datos de Entrada</t>
        </is>
      </c>
      <c r="H3" s="9" t="inlineStr">
        <is>
          <t>Pasos de Ejecución</t>
        </is>
      </c>
      <c r="I3" s="9" t="inlineStr">
        <is>
          <t>Resultado Esperado</t>
        </is>
      </c>
      <c r="J3" s="9" t="inlineStr">
        <is>
          <t>Resultado Obtenido</t>
        </is>
      </c>
      <c r="K3" s="9" t="inlineStr">
        <is>
          <t>Evidencia</t>
        </is>
      </c>
      <c r="L3" s="9" t="inlineStr">
        <is>
          <t>Resultado</t>
        </is>
      </c>
      <c r="M3" s="9" t="inlineStr">
        <is>
          <t>Defecto ID</t>
        </is>
      </c>
      <c r="N3" s="9" t="inlineStr">
        <is>
          <t>Ejecutado por</t>
        </is>
      </c>
      <c r="O3" s="9" t="inlineStr">
        <is>
          <t>Fecha Ejecución</t>
        </is>
      </c>
      <c r="P3" s="9" t="inlineStr">
        <is>
          <t>Observaciones</t>
        </is>
      </c>
    </row>
    <row r="4" ht="72" customHeight="1">
      <c r="A4" s="59" t="inlineStr">
        <is>
          <t>CP-001</t>
        </is>
      </c>
      <c r="B4" s="59" t="inlineStr">
        <is>
          <t>Login</t>
        </is>
      </c>
      <c r="C4" s="59" t="inlineStr">
        <is>
          <t>Login trabajador valido</t>
        </is>
      </c>
      <c r="D4" s="59" t="inlineStr">
        <is>
          <t>Funcional</t>
        </is>
      </c>
      <c r="E4" s="59" t="inlineStr">
        <is>
          <t>Alta</t>
        </is>
      </c>
      <c r="F4" s="59" t="inlineStr">
        <is>
          <t>API y MySQL activos; usuario trabajador existe.</t>
        </is>
      </c>
      <c r="G4" s="59" t="inlineStr">
        <is>
          <t>Usuario: Rosisela
PIN: 1234</t>
        </is>
      </c>
      <c r="H4" s="59" t="inlineStr">
        <is>
          <t>1. 
2. Abrir app 2)
3. Ingresar nombre y PIN 3)
4. Entrar)</t>
        </is>
      </c>
      <c r="I4" s="59" t="inlineStr">
        <is>
          <t>Acceso a pantalla principal sin error.</t>
        </is>
      </c>
      <c r="J4" s="59" t="n"/>
      <c r="K4" s="59" t="inlineStr">
        <is>
          <t>evidencias-pruebas/CP-001-login-trabajador.png</t>
        </is>
      </c>
      <c r="L4" s="59" t="inlineStr">
        <is>
          <t>PENDIENTE</t>
        </is>
      </c>
      <c r="M4" s="59" t="n"/>
      <c r="N4" s="59" t="n"/>
      <c r="O4" s="59" t="n"/>
      <c r="P4" s="59" t="inlineStr">
        <is>
          <t>Ejecutar en celular + API activa</t>
        </is>
      </c>
    </row>
    <row r="5" ht="72" customHeight="1">
      <c r="A5" s="59" t="inlineStr">
        <is>
          <t>CP-002</t>
        </is>
      </c>
      <c r="B5" s="59" t="inlineStr">
        <is>
          <t>Login</t>
        </is>
      </c>
      <c r="C5" s="59" t="inlineStr">
        <is>
          <t>Login admin valido</t>
        </is>
      </c>
      <c r="D5" s="59" t="inlineStr">
        <is>
          <t>Funcional</t>
        </is>
      </c>
      <c r="E5" s="59" t="inlineStr">
        <is>
          <t>Alta</t>
        </is>
      </c>
      <c r="F5" s="59" t="inlineStr">
        <is>
          <t>Usuario administrador existe.</t>
        </is>
      </c>
      <c r="G5" s="59" t="inlineStr">
        <is>
          <t>Usuario: Admin
PIN: 1234</t>
        </is>
      </c>
      <c r="H5" s="59" t="inlineStr">
        <is>
          <t>1. 
2. Ingresar credenciales admin 2)
3. Entrar)</t>
        </is>
      </c>
      <c r="I5" s="59" t="inlineStr">
        <is>
          <t>Se muestran funciones de administrador.</t>
        </is>
      </c>
      <c r="J5" s="59" t="n"/>
      <c r="K5" s="59" t="inlineStr">
        <is>
          <t>evidencias-pruebas/CP-002-login-admin.png</t>
        </is>
      </c>
      <c r="L5" s="59" t="inlineStr">
        <is>
          <t>PENDIENTE</t>
        </is>
      </c>
      <c r="M5" s="59" t="n"/>
      <c r="N5" s="59" t="n"/>
      <c r="O5" s="59" t="n"/>
      <c r="P5" s="59" t="inlineStr">
        <is>
          <t>Ejecutar en celular + API activa</t>
        </is>
      </c>
    </row>
    <row r="6" ht="72" customHeight="1">
      <c r="A6" s="59" t="inlineStr">
        <is>
          <t>CP-003</t>
        </is>
      </c>
      <c r="B6" s="59" t="inlineStr">
        <is>
          <t>Login</t>
        </is>
      </c>
      <c r="C6" s="59" t="inlineStr">
        <is>
          <t>Credenciales incorrectas</t>
        </is>
      </c>
      <c r="D6" s="59" t="inlineStr">
        <is>
          <t>Funcional</t>
        </is>
      </c>
      <c r="E6" s="59" t="inlineStr">
        <is>
          <t>Alta</t>
        </is>
      </c>
      <c r="F6" s="59" t="inlineStr">
        <is>
          <t>API activa.</t>
        </is>
      </c>
      <c r="G6" s="59" t="inlineStr">
        <is>
          <t>Usuario: Admin
PIN: 9999 (incorrecto)</t>
        </is>
      </c>
      <c r="H6" s="59" t="inlineStr">
        <is>
          <t>1. 
2. Nombre o PIN incorrectos 2)
3. Entrar)</t>
        </is>
      </c>
      <c r="I6" s="59" t="inlineStr">
        <is>
          <t>Mensaje de error claro; no ingresa.</t>
        </is>
      </c>
      <c r="J6" s="59" t="n"/>
      <c r="K6" s="59" t="inlineStr"/>
      <c r="L6" s="59" t="inlineStr">
        <is>
          <t>PENDIENTE</t>
        </is>
      </c>
      <c r="M6" s="59" t="n"/>
      <c r="N6" s="59" t="n"/>
      <c r="O6" s="59" t="n"/>
      <c r="P6" s="59" t="inlineStr">
        <is>
          <t>Ejecutar en celular + API activa</t>
        </is>
      </c>
    </row>
    <row r="7" ht="72" customHeight="1">
      <c r="A7" s="59" t="inlineStr">
        <is>
          <t>CP-004</t>
        </is>
      </c>
      <c r="B7" s="59" t="inlineStr">
        <is>
          <t>Login</t>
        </is>
      </c>
      <c r="C7" s="59" t="inlineStr">
        <is>
          <t>PIN vacio o incompleto</t>
        </is>
      </c>
      <c r="D7" s="59" t="inlineStr">
        <is>
          <t>Funcional</t>
        </is>
      </c>
      <c r="E7" s="59" t="inlineStr">
        <is>
          <t>Media</t>
        </is>
      </c>
      <c r="F7" s="59" t="inlineStr">
        <is>
          <t>App en login.</t>
        </is>
      </c>
      <c r="G7" s="59" t="inlineStr">
        <is>
          <t>PIN: vacío o menos de 4 dígitos</t>
        </is>
      </c>
      <c r="H7" s="59" t="inlineStr">
        <is>
          <t>1. 
2. Dejar PIN incompleto 2)
3. Entrar)</t>
        </is>
      </c>
      <c r="I7" s="59" t="inlineStr">
        <is>
          <t>Validacion en UI o error controlado.</t>
        </is>
      </c>
      <c r="J7" s="59" t="n"/>
      <c r="K7" s="59" t="inlineStr"/>
      <c r="L7" s="59" t="inlineStr">
        <is>
          <t>PENDIENTE</t>
        </is>
      </c>
      <c r="M7" s="59" t="n"/>
      <c r="N7" s="59" t="n"/>
      <c r="O7" s="59" t="n"/>
      <c r="P7" s="59" t="inlineStr">
        <is>
          <t>Ejecutar en celular + API activa</t>
        </is>
      </c>
    </row>
    <row r="8" ht="72" customHeight="1">
      <c r="A8" s="59" t="inlineStr">
        <is>
          <t>CP-005</t>
        </is>
      </c>
      <c r="B8" s="59" t="inlineStr">
        <is>
          <t>Auth</t>
        </is>
      </c>
      <c r="C8" s="59" t="inlineStr">
        <is>
          <t>Sesion duplicada (si aplica)</t>
        </is>
      </c>
      <c r="D8" s="59" t="inlineStr">
        <is>
          <t>Integracion</t>
        </is>
      </c>
      <c r="E8" s="59" t="inlineStr">
        <is>
          <t>Media</t>
        </is>
      </c>
      <c r="F8" s="59" t="inlineStr">
        <is>
          <t>Mismo usuario ya logueo en otro dispositivo.</t>
        </is>
      </c>
      <c r="G8" s="59" t="inlineStr">
        <is>
          <t>Mismo usuario logueado en otro dispositivo</t>
        </is>
      </c>
      <c r="H8" s="59" t="inlineStr">
        <is>
          <t>1. 
2. Login en segundo dispositivo)</t>
        </is>
      </c>
      <c r="I8" s="59" t="inlineStr">
        <is>
          <t>Mensaje de conflicto segun API.</t>
        </is>
      </c>
      <c r="J8" s="59" t="n"/>
      <c r="K8" s="59" t="inlineStr"/>
      <c r="L8" s="59" t="inlineStr">
        <is>
          <t>PENDIENTE</t>
        </is>
      </c>
      <c r="M8" s="59" t="n"/>
      <c r="N8" s="59" t="n"/>
      <c r="O8" s="59" t="n"/>
      <c r="P8" s="59" t="inlineStr">
        <is>
          <t>Ejecutar en celular + API activa</t>
        </is>
      </c>
    </row>
    <row r="9" ht="72" customHeight="1">
      <c r="A9" s="59" t="inlineStr">
        <is>
          <t>CP-006</t>
        </is>
      </c>
      <c r="B9" s="59" t="inlineStr">
        <is>
          <t>Config</t>
        </is>
      </c>
      <c r="C9" s="59" t="inlineStr">
        <is>
          <t>Health API</t>
        </is>
      </c>
      <c r="D9" s="59" t="inlineStr">
        <is>
          <t>Integracion</t>
        </is>
      </c>
      <c r="E9" s="59" t="inlineStr">
        <is>
          <t>Alta</t>
        </is>
      </c>
      <c r="F9" s="59" t="inlineStr">
        <is>
          <t>PC y celular misma red o adb reverse.</t>
        </is>
      </c>
      <c r="G9" s="59" t="inlineStr">
        <is>
          <t>URL: http://IP_PC:3000/health</t>
        </is>
      </c>
      <c r="H9" s="59" t="inlineStr">
        <is>
          <t>1. 
2. Navegador http://IP:3000/health)</t>
        </is>
      </c>
      <c r="I9" s="59" t="inlineStr">
        <is>
          <t>JSON ok true.</t>
        </is>
      </c>
      <c r="J9" s="59" t="n"/>
      <c r="K9" s="59" t="inlineStr">
        <is>
          <t>evidencias-pruebas/CP-006-health.png</t>
        </is>
      </c>
      <c r="L9" s="59" t="inlineStr">
        <is>
          <t>PENDIENTE</t>
        </is>
      </c>
      <c r="M9" s="59" t="n"/>
      <c r="N9" s="59" t="n"/>
      <c r="O9" s="59" t="n"/>
      <c r="P9" s="59" t="inlineStr">
        <is>
          <t>Ejecutar en celular + API activa</t>
        </is>
      </c>
    </row>
    <row r="10" ht="72" customHeight="1">
      <c r="A10" s="59" t="inlineStr">
        <is>
          <t>CP-007</t>
        </is>
      </c>
      <c r="B10" s="59" t="inlineStr">
        <is>
          <t>Cancha</t>
        </is>
      </c>
      <c r="C10" s="59" t="inlineStr">
        <is>
          <t>Listar reservas dia</t>
        </is>
      </c>
      <c r="D10" s="59" t="inlineStr">
        <is>
          <t>Funcional</t>
        </is>
      </c>
      <c r="E10" s="59" t="inlineStr">
        <is>
          <t>Alta</t>
        </is>
      </c>
      <c r="F10" s="59" t="inlineStr">
        <is>
          <t>Usuario logueado; datos de prueba.</t>
        </is>
      </c>
      <c r="G10" s="59" t="inlineStr">
        <is>
          <t>Fecha: día con reservas de prueba</t>
        </is>
      </c>
      <c r="H10" s="59" t="inlineStr">
        <is>
          <t>1. 
2. Ir a Cancha 2)
3. Seleccionar fecha)</t>
        </is>
      </c>
      <c r="I10" s="59" t="inlineStr">
        <is>
          <t>Lista coherente con API.</t>
        </is>
      </c>
      <c r="J10" s="59" t="n"/>
      <c r="K10" s="59" t="inlineStr">
        <is>
          <t>evidencias-pruebas/CP-007-lista-cancha.png</t>
        </is>
      </c>
      <c r="L10" s="59" t="inlineStr">
        <is>
          <t>PENDIENTE</t>
        </is>
      </c>
      <c r="M10" s="59" t="n"/>
      <c r="N10" s="59" t="n"/>
      <c r="O10" s="59" t="n"/>
      <c r="P10" s="59" t="inlineStr">
        <is>
          <t>Ejecutar en celular + API activa</t>
        </is>
      </c>
    </row>
    <row r="11" ht="72" customHeight="1">
      <c r="A11" s="59" t="inlineStr">
        <is>
          <t>CP-008</t>
        </is>
      </c>
      <c r="B11" s="59" t="inlineStr">
        <is>
          <t>Cancha</t>
        </is>
      </c>
      <c r="C11" s="59" t="inlineStr">
        <is>
          <t>Crear reserva valida</t>
        </is>
      </c>
      <c r="D11" s="59" t="inlineStr">
        <is>
          <t>Funcional</t>
        </is>
      </c>
      <c r="E11" s="59" t="inlineStr">
        <is>
          <t>Alta</t>
        </is>
      </c>
      <c r="F11" s="59" t="inlineStr">
        <is>
          <t>Cancha disponible en franja.</t>
        </is>
      </c>
      <c r="G11" s="59" t="inlineStr">
        <is>
          <t>Cliente, deporte Futbol/Voley, fecha futura, hora libre, montos</t>
        </is>
      </c>
      <c r="H11" s="59" t="inlineStr">
        <is>
          <t>1. 
2. Nuevo 2)
3. Completar datos 3)
4. Guardar)</t>
        </is>
      </c>
      <c r="I11" s="59" t="inlineStr">
        <is>
          <t>Reserva creada y visible.</t>
        </is>
      </c>
      <c r="J11" s="59" t="n"/>
      <c r="K11" s="59" t="inlineStr">
        <is>
          <t>evidencias-pruebas/CP-008-crear-reserva.png</t>
        </is>
      </c>
      <c r="L11" s="59" t="inlineStr">
        <is>
          <t>PENDIENTE</t>
        </is>
      </c>
      <c r="M11" s="59" t="n"/>
      <c r="N11" s="59" t="n"/>
      <c r="O11" s="59" t="n"/>
      <c r="P11" s="59" t="inlineStr">
        <is>
          <t>Ejecutar en celular + API activa</t>
        </is>
      </c>
    </row>
    <row r="12" ht="72" customHeight="1">
      <c r="A12" s="59" t="inlineStr">
        <is>
          <t>CP-009</t>
        </is>
      </c>
      <c r="B12" s="59" t="inlineStr">
        <is>
          <t>Cancha</t>
        </is>
      </c>
      <c r="C12" s="59" t="inlineStr">
        <is>
          <t>Fecha u hora pasada</t>
        </is>
      </c>
      <c r="D12" s="59" t="inlineStr">
        <is>
          <t>Funcional</t>
        </is>
      </c>
      <c r="E12" s="59" t="inlineStr">
        <is>
          <t>Media</t>
        </is>
      </c>
      <c r="F12" s="59" t="inlineStr">
        <is>
          <t>Regla servidor activa.</t>
        </is>
      </c>
      <c r="G12" s="59" t="inlineStr">
        <is>
          <t>Fecha u hora en el pasado</t>
        </is>
      </c>
      <c r="H12" s="59" t="inlineStr">
        <is>
          <t>1. 
2. Intentar reserva en pasado)</t>
        </is>
      </c>
      <c r="I12" s="59" t="inlineStr">
        <is>
          <t>Error o bloqueo segun implementacion.</t>
        </is>
      </c>
      <c r="J12" s="59" t="n"/>
      <c r="K12" s="59" t="inlineStr"/>
      <c r="L12" s="59" t="inlineStr">
        <is>
          <t>PENDIENTE</t>
        </is>
      </c>
      <c r="M12" s="59" t="n"/>
      <c r="N12" s="59" t="n"/>
      <c r="O12" s="59" t="n"/>
      <c r="P12" s="59" t="inlineStr">
        <is>
          <t>Ejecutar en celular + API activa</t>
        </is>
      </c>
    </row>
    <row r="13" ht="72" customHeight="1">
      <c r="A13" s="59" t="inlineStr">
        <is>
          <t>CP-010</t>
        </is>
      </c>
      <c r="B13" s="59" t="inlineStr">
        <is>
          <t>Salones</t>
        </is>
      </c>
      <c r="C13" s="59" t="inlineStr">
        <is>
          <t>Listar reservas</t>
        </is>
      </c>
      <c r="D13" s="59" t="inlineStr">
        <is>
          <t>Funcional</t>
        </is>
      </c>
      <c r="E13" s="59" t="inlineStr">
        <is>
          <t>Alta</t>
        </is>
      </c>
      <c r="F13" s="59" t="inlineStr">
        <is>
          <t>Salones con datos.</t>
        </is>
      </c>
      <c r="G13" s="59" t="inlineStr">
        <is>
          <t>Filtro opcional por salón</t>
        </is>
      </c>
      <c r="H13" s="59" t="inlineStr">
        <is>
          <t>1. 
2. Abrir Salones 2)
3. Revisar lista)</t>
        </is>
      </c>
      <c r="I13" s="59" t="inlineStr">
        <is>
          <t>Datos acordes a API.</t>
        </is>
      </c>
      <c r="J13" s="59" t="n"/>
      <c r="K13" s="59" t="inlineStr"/>
      <c r="L13" s="59" t="inlineStr">
        <is>
          <t>PENDIENTE</t>
        </is>
      </c>
      <c r="M13" s="59" t="n"/>
      <c r="N13" s="59" t="n"/>
      <c r="O13" s="59" t="n"/>
      <c r="P13" s="59" t="inlineStr">
        <is>
          <t>Ejecutar en celular + API activa</t>
        </is>
      </c>
    </row>
    <row r="14" ht="72" customHeight="1">
      <c r="A14" s="59" t="inlineStr">
        <is>
          <t>CP-011</t>
        </is>
      </c>
      <c r="B14" s="59" t="inlineStr">
        <is>
          <t>Salones</t>
        </is>
      </c>
      <c r="C14" s="59" t="inlineStr">
        <is>
          <t>Crear reserva valida</t>
        </is>
      </c>
      <c r="D14" s="59" t="inlineStr">
        <is>
          <t>Funcional</t>
        </is>
      </c>
      <c r="E14" s="59" t="inlineStr">
        <is>
          <t>Alta</t>
        </is>
      </c>
      <c r="F14" s="59" t="inlineStr">
        <is>
          <t>Horario libre.</t>
        </is>
      </c>
      <c r="G14" s="59" t="inlineStr">
        <is>
          <t>Salón, horario libre, tipo evento, precio</t>
        </is>
      </c>
      <c r="H14" s="59" t="inlineStr">
        <is>
          <t>1. 
2. Nuevo 2)
3. Datos completos 3)
4. Guardar)</t>
        </is>
      </c>
      <c r="I14" s="59" t="inlineStr">
        <is>
          <t>Reserva creada.</t>
        </is>
      </c>
      <c r="J14" s="59" t="n"/>
      <c r="K14" s="59" t="inlineStr"/>
      <c r="L14" s="59" t="inlineStr">
        <is>
          <t>PENDIENTE</t>
        </is>
      </c>
      <c r="M14" s="59" t="n"/>
      <c r="N14" s="59" t="n"/>
      <c r="O14" s="59" t="n"/>
      <c r="P14" s="59" t="inlineStr">
        <is>
          <t>Ejecutar en celular + API activa</t>
        </is>
      </c>
    </row>
    <row r="15" ht="72" customHeight="1">
      <c r="A15" s="59" t="inlineStr">
        <is>
          <t>CP-012</t>
        </is>
      </c>
      <c r="B15" s="59" t="inlineStr">
        <is>
          <t>Reportes</t>
        </is>
      </c>
      <c r="C15" s="59" t="inlineStr">
        <is>
          <t>Generar reporte periodo</t>
        </is>
      </c>
      <c r="D15" s="59" t="inlineStr">
        <is>
          <t>Funcional</t>
        </is>
      </c>
      <c r="E15" s="59" t="inlineStr">
        <is>
          <t>Media</t>
        </is>
      </c>
      <c r="F15" s="59" t="inlineStr">
        <is>
          <t>Hay datos.</t>
        </is>
      </c>
      <c r="G15" s="59" t="inlineStr">
        <is>
          <t>Periodo: diario / semanal / mensual</t>
        </is>
      </c>
      <c r="H15" s="59" t="inlineStr">
        <is>
          <t>1. 
2. Elegir periodo 2)
3. Consultar)</t>
        </is>
      </c>
      <c r="I15" s="59" t="inlineStr">
        <is>
          <t>Valores mostrados sin crash.</t>
        </is>
      </c>
      <c r="J15" s="59" t="n"/>
      <c r="K15" s="59" t="inlineStr"/>
      <c r="L15" s="59" t="inlineStr">
        <is>
          <t>PENDIENTE</t>
        </is>
      </c>
      <c r="M15" s="59" t="n"/>
      <c r="N15" s="59" t="n"/>
      <c r="O15" s="59" t="n"/>
      <c r="P15" s="59" t="inlineStr">
        <is>
          <t>Ejecutar en celular + API activa</t>
        </is>
      </c>
    </row>
    <row r="16" ht="72" customHeight="1">
      <c r="A16" s="59" t="inlineStr">
        <is>
          <t>CP-013</t>
        </is>
      </c>
      <c r="B16" s="59" t="inlineStr">
        <is>
          <t>Perfil</t>
        </is>
      </c>
      <c r="C16" s="59" t="inlineStr">
        <is>
          <t>Cambiar PIN</t>
        </is>
      </c>
      <c r="D16" s="59" t="inlineStr">
        <is>
          <t>Funcional</t>
        </is>
      </c>
      <c r="E16" s="59" t="inlineStr">
        <is>
          <t>Media</t>
        </is>
      </c>
      <c r="F16" s="59" t="inlineStr">
        <is>
          <t>Usuario logueado.</t>
        </is>
      </c>
      <c r="G16" s="59" t="inlineStr">
        <is>
          <t>PIN actual y PIN nuevo (mín. 4 dígitos)</t>
        </is>
      </c>
      <c r="H16" s="59" t="inlineStr">
        <is>
          <t>1. 
2. Perfil 2)
3. Cambiar PIN 3)
4. Confirmar)</t>
        </is>
      </c>
      <c r="I16" s="59" t="inlineStr">
        <is>
          <t>Nuevo PIN aceptado o mensaje error.</t>
        </is>
      </c>
      <c r="J16" s="59" t="n"/>
      <c r="K16" s="59" t="inlineStr"/>
      <c r="L16" s="59" t="inlineStr">
        <is>
          <t>PENDIENTE</t>
        </is>
      </c>
      <c r="M16" s="59" t="n"/>
      <c r="N16" s="59" t="n"/>
      <c r="O16" s="59" t="n"/>
      <c r="P16" s="59" t="inlineStr">
        <is>
          <t>Ejecutar en celular + API activa</t>
        </is>
      </c>
    </row>
    <row r="17" ht="72" customHeight="1">
      <c r="A17" s="59" t="inlineStr">
        <is>
          <t>CP-014</t>
        </is>
      </c>
      <c r="B17" s="59" t="inlineStr">
        <is>
          <t>Regresion</t>
        </is>
      </c>
      <c r="C17" s="59" t="inlineStr">
        <is>
          <t>Smoke post-cambio</t>
        </is>
      </c>
      <c r="D17" s="59" t="inlineStr">
        <is>
          <t>Regresion</t>
        </is>
      </c>
      <c r="E17" s="59" t="inlineStr">
        <is>
          <t>Media</t>
        </is>
      </c>
      <c r="F17" s="59" t="inlineStr">
        <is>
          <t>Codigo actualizado.</t>
        </is>
      </c>
      <c r="G17" s="59" t="inlineStr">
        <is>
          <t>Build actual desplegado</t>
        </is>
      </c>
      <c r="H17" s="59" t="inlineStr">
        <is>
          <t>1. 
2. Login 2)
3. Cancha 3)
4. Salones)</t>
        </is>
      </c>
      <c r="I17" s="59" t="inlineStr">
        <is>
          <t>Flujos basicos OK.</t>
        </is>
      </c>
      <c r="J17" s="59" t="n"/>
      <c r="K17" s="59" t="inlineStr"/>
      <c r="L17" s="59" t="inlineStr">
        <is>
          <t>PENDIENTE</t>
        </is>
      </c>
      <c r="M17" s="59" t="n"/>
      <c r="N17" s="59" t="n"/>
      <c r="O17" s="59" t="n"/>
      <c r="P17" s="59" t="inlineStr">
        <is>
          <t>Ejecutar en celular + API activa</t>
        </is>
      </c>
    </row>
    <row r="18" ht="72" customHeight="1">
      <c r="A18" s="59" t="inlineStr">
        <is>
          <t>CP-015</t>
        </is>
      </c>
      <c r="B18" s="59" t="inlineStr">
        <is>
          <t>Cancha</t>
        </is>
      </c>
      <c r="C18" s="59" t="inlineStr">
        <is>
          <t>Calendario colores por dia</t>
        </is>
      </c>
      <c r="D18" s="59" t="inlineStr">
        <is>
          <t>Funcional</t>
        </is>
      </c>
      <c r="E18" s="59" t="inlineStr">
        <is>
          <t>Alta</t>
        </is>
      </c>
      <c r="F18" s="59" t="inlineStr">
        <is>
          <t>Usuario logueado; API con reservas en el mes.</t>
        </is>
      </c>
      <c r="G18" s="59" t="inlineStr">
        <is>
          <t>Mes con reservas en distintos días</t>
        </is>
      </c>
      <c r="H18" s="59" t="inlineStr">
        <is>
          <t>1. 
2. Ir a Cancha 2)
3. Tocar icono calendario 3)
4. Revisar leyenda y celdas)</t>
        </is>
      </c>
      <c r="I18" s="59" t="inlineStr">
        <is>
          <t>Se muestran verde libre amarillo parcial rojo lleno gris pasado; sin mensaje de error de parseo de fecha.</t>
        </is>
      </c>
      <c r="J18" s="59" t="n"/>
      <c r="K18" s="59" t="inlineStr">
        <is>
          <t>evidencias-pruebas/CP-015-calendario.png</t>
        </is>
      </c>
      <c r="L18" s="59" t="inlineStr">
        <is>
          <t>PENDIENTE</t>
        </is>
      </c>
      <c r="M18" s="59" t="n"/>
      <c r="N18" s="59" t="n"/>
      <c r="O18" s="59" t="n"/>
      <c r="P18" s="59" t="inlineStr">
        <is>
          <t>Ejecutar en celular + API activa</t>
        </is>
      </c>
    </row>
    <row r="19" ht="72" customHeight="1">
      <c r="A19" s="59" t="inlineStr">
        <is>
          <t>CP-016</t>
        </is>
      </c>
      <c r="B19" s="59" t="inlineStr">
        <is>
          <t>Cancha</t>
        </is>
      </c>
      <c r="C19" s="59" t="inlineStr">
        <is>
          <t>Calendario cambiar mes con flechas</t>
        </is>
      </c>
      <c r="D19" s="59" t="inlineStr">
        <is>
          <t>Funcional</t>
        </is>
      </c>
      <c r="E19" s="59" t="inlineStr">
        <is>
          <t>Media</t>
        </is>
      </c>
      <c r="F19" s="59" t="inlineStr">
        <is>
          <t>Dialogo de calendario abierto.</t>
        </is>
      </c>
      <c r="G19" s="59" t="inlineStr">
        <is>
          <t>Calendario mensual abierto</t>
        </is>
      </c>
      <c r="H19" s="59" t="inlineStr">
        <is>
          <t>1. 
2. Pulsar flecha mes anterior 2)
3. Pulsar flecha mes siguiente)</t>
        </is>
      </c>
      <c r="I19" s="59" t="inlineStr">
        <is>
          <t>Cambia el titulo del mes y se recargan colores por dia sin fallo.</t>
        </is>
      </c>
      <c r="J19" s="59" t="n"/>
      <c r="K19" s="59" t="inlineStr"/>
      <c r="L19" s="59" t="inlineStr">
        <is>
          <t>PENDIENTE</t>
        </is>
      </c>
      <c r="M19" s="59" t="n"/>
      <c r="N19" s="59" t="n"/>
      <c r="O19" s="59" t="n"/>
      <c r="P19" s="59" t="inlineStr">
        <is>
          <t>Ejecutar en celular + API activa</t>
        </is>
      </c>
    </row>
    <row r="20" ht="72" customHeight="1">
      <c r="A20" s="59" t="inlineStr">
        <is>
          <t>CP-017</t>
        </is>
      </c>
      <c r="B20" s="59" t="inlineStr">
        <is>
          <t>Cancha</t>
        </is>
      </c>
      <c r="C20" s="59" t="inlineStr">
        <is>
          <t>Barra semana flechas anterior/siguiente</t>
        </is>
      </c>
      <c r="D20" s="59" t="inlineStr">
        <is>
          <t>Funcional</t>
        </is>
      </c>
      <c r="E20" s="59" t="inlineStr">
        <is>
          <t>Media</t>
        </is>
      </c>
      <c r="F20" s="59" t="inlineStr">
        <is>
          <t>En pantalla Cancha.</t>
        </is>
      </c>
      <c r="G20" s="59" t="inlineStr">
        <is>
          <t>Barra de semana visible</t>
        </is>
      </c>
      <c r="H20" s="59" t="inlineStr">
        <is>
          <t>1. 
2. Pulsar flecha semana atras en la barra verde 2)
3. Pulsar flecha semana adelante)</t>
        </is>
      </c>
      <c r="I20" s="59" t="inlineStr">
        <is>
          <t>La fila de siete dias y la fecha activa avanzan o retroceden una semana correctamente.</t>
        </is>
      </c>
      <c r="J20" s="59" t="n"/>
      <c r="K20" s="59" t="inlineStr"/>
      <c r="L20" s="59" t="inlineStr">
        <is>
          <t>PENDIENTE</t>
        </is>
      </c>
      <c r="M20" s="59" t="n"/>
      <c r="N20" s="59" t="n"/>
      <c r="O20" s="59" t="n"/>
      <c r="P20" s="59" t="inlineStr">
        <is>
          <t>Ejecutar en celular + API activa</t>
        </is>
      </c>
    </row>
    <row r="21" ht="72" customHeight="1">
      <c r="A21" s="59" t="inlineStr">
        <is>
          <t>CP-018</t>
        </is>
      </c>
      <c r="B21" s="59" t="inlineStr">
        <is>
          <t>Cancha</t>
        </is>
      </c>
      <c r="C21" s="59" t="inlineStr">
        <is>
          <t>Turno largo una sola fila en lista</t>
        </is>
      </c>
      <c r="D21" s="59" t="inlineStr">
        <is>
          <t>Funcional</t>
        </is>
      </c>
      <c r="E21" s="59" t="inlineStr">
        <is>
          <t>Alta</t>
        </is>
      </c>
      <c r="F21" s="59" t="inlineStr">
        <is>
          <t>Reserva hecha con Otra hora en varias franjas contiguas mismo cliente.</t>
        </is>
      </c>
      <c r="G21" s="59" t="inlineStr">
        <is>
          <t>Reserva multi-franja mismo cliente</t>
        </is>
      </c>
      <c r="H21" s="59" t="inlineStr">
        <is>
          <t>1. 
2. Abrir el dia de la reserva 2)
3. Revisar lista de horarios)</t>
        </is>
      </c>
      <c r="I21" s="59" t="inlineStr">
        <is>
          <t>Aparece una sola tarjeta con hora inicio-fin total y texto de un solo turno; no varias tarjetas duplicadas por cada media hora.</t>
        </is>
      </c>
      <c r="J21" s="59" t="n"/>
      <c r="K21" s="59" t="inlineStr"/>
      <c r="L21" s="59" t="inlineStr">
        <is>
          <t>PENDIENTE</t>
        </is>
      </c>
      <c r="M21" s="59" t="n"/>
      <c r="N21" s="59" t="n"/>
      <c r="O21" s="59" t="n"/>
      <c r="P21" s="59" t="inlineStr">
        <is>
          <t>Ejecutar en celular + API activa</t>
        </is>
      </c>
    </row>
    <row r="22" ht="72" customHeight="1">
      <c r="A22" s="59" t="inlineStr">
        <is>
          <t>CP-019</t>
        </is>
      </c>
      <c r="B22" s="59" t="inlineStr">
        <is>
          <t>Cancha</t>
        </is>
      </c>
      <c r="C22" s="59" t="inlineStr">
        <is>
          <t>Detalle turno largo totales y cancelar grupo</t>
        </is>
      </c>
      <c r="D22" s="59" t="inlineStr">
        <is>
          <t>Funcional</t>
        </is>
      </c>
      <c r="E22" s="59" t="inlineStr">
        <is>
          <t>Media</t>
        </is>
      </c>
      <c r="F22" s="59" t="inlineStr">
        <is>
          <t>Existe turno largo en el dia.</t>
        </is>
      </c>
      <c r="G22" s="59" t="inlineStr">
        <is>
          <t>Turno largo existente + motivo cancelación</t>
        </is>
      </c>
      <c r="H22" s="59" t="inlineStr">
        <is>
          <t>1. 
2. Abrir detalle del turno 2)
3. Revisar totales 3)
4. Cancelar con motivo valido)</t>
        </is>
      </c>
      <c r="I22" s="59" t="inlineStr">
        <is>
          <t>Muestra montos acumulados; cancelacion aplica a todas las franjas del grupo segun implementacion.</t>
        </is>
      </c>
      <c r="J22" s="59" t="n"/>
      <c r="K22" s="59" t="inlineStr"/>
      <c r="L22" s="59" t="inlineStr">
        <is>
          <t>PENDIENTE</t>
        </is>
      </c>
      <c r="M22" s="59" t="n"/>
      <c r="N22" s="59" t="n"/>
      <c r="O22" s="59" t="n"/>
      <c r="P22" s="59" t="inlineStr">
        <is>
          <t>Ejecutar en celular + API activa</t>
        </is>
      </c>
    </row>
    <row r="23" ht="72" customHeight="1">
      <c r="A23" s="59" t="inlineStr">
        <is>
          <t>CP-020</t>
        </is>
      </c>
      <c r="B23" s="59" t="inlineStr">
        <is>
          <t>Cancha</t>
        </is>
      </c>
      <c r="C23" s="59" t="inlineStr">
        <is>
          <t>Otra hora inicio poco despues de ahora</t>
        </is>
      </c>
      <c r="D23" s="59" t="inlineStr">
        <is>
          <t>Funcional</t>
        </is>
      </c>
      <c r="E23" s="59" t="inlineStr">
        <is>
          <t>Alta</t>
        </is>
      </c>
      <c r="F23" s="59" t="inlineStr">
        <is>
          <t>Hoy; servidor en hora local correcta.</t>
        </is>
      </c>
      <c r="G23" s="59" t="inlineStr">
        <is>
          <t>Hora inicio pocos minutos después de ahora</t>
        </is>
      </c>
      <c r="H23" s="59" t="inlineStr">
        <is>
          <t>1. 
2. Otra hora 2)
3. Inicio unos minutos despues de la hora actual 3)
4. Fin coherente 4)
5. Guardar)</t>
        </is>
      </c>
      <c r="I23" s="59" t="inlineStr">
        <is>
          <t>Reserva guardada sin rechazar por tramos intermedios del mismo turno.</t>
        </is>
      </c>
      <c r="J23" s="59" t="n"/>
      <c r="K23" s="59" t="inlineStr"/>
      <c r="L23" s="59" t="inlineStr">
        <is>
          <t>PENDIENTE</t>
        </is>
      </c>
      <c r="M23" s="59" t="n"/>
      <c r="N23" s="59" t="n"/>
      <c r="O23" s="59" t="n"/>
      <c r="P23" s="59" t="inlineStr">
        <is>
          <t>Ejecutar en celular + API activa</t>
        </is>
      </c>
    </row>
    <row r="24" ht="72" customHeight="1">
      <c r="A24" s="59" t="inlineStr">
        <is>
          <t>CP-021</t>
        </is>
      </c>
      <c r="B24" s="59" t="inlineStr">
        <is>
          <t>Cancha</t>
        </is>
      </c>
      <c r="C24" s="59" t="inlineStr">
        <is>
          <t>Duracion y hora fin con media hora final</t>
        </is>
      </c>
      <c r="D24" s="59" t="inlineStr">
        <is>
          <t>Funcional</t>
        </is>
      </c>
      <c r="E24" s="59" t="inlineStr">
        <is>
          <t>Alta</t>
        </is>
      </c>
      <c r="F24" s="59" t="inlineStr">
        <is>
          <t>API GET reservas incluye duracion_minutos.</t>
        </is>
      </c>
      <c r="G24" s="59" t="inlineStr">
        <is>
          <t>Rango ej. 17:00 a 18:30</t>
        </is>
      </c>
      <c r="H24" s="59" t="inlineStr">
        <is>
          <t>1. 
2. Crear rango ej. 17:00 a 18:30 2)
3. Ver lista o detalle)</t>
        </is>
      </c>
      <c r="I24" s="59" t="inlineStr">
        <is>
          <t>Se muestra duracion 1 h 30 min y fin 18:30; no 2 h ni fin 19:00 por error de duracion.</t>
        </is>
      </c>
      <c r="J24" s="59" t="n"/>
      <c r="K24" s="59" t="inlineStr"/>
      <c r="L24" s="59" t="inlineStr">
        <is>
          <t>PENDIENTE</t>
        </is>
      </c>
      <c r="M24" s="59" t="n"/>
      <c r="N24" s="59" t="n"/>
      <c r="O24" s="59" t="n"/>
      <c r="P24" s="59" t="inlineStr">
        <is>
          <t>Ejecutar en celular + API activa</t>
        </is>
      </c>
    </row>
    <row r="25" ht="72" customHeight="1">
      <c r="A25" s="59" t="inlineStr">
        <is>
          <t>CP-022</t>
        </is>
      </c>
      <c r="B25" s="59" t="inlineStr">
        <is>
          <t>Cancha</t>
        </is>
      </c>
      <c r="C25" s="59" t="inlineStr">
        <is>
          <t>Volver a fecha de hoy</t>
        </is>
      </c>
      <c r="D25" s="59" t="inlineStr">
        <is>
          <t>Funcional</t>
        </is>
      </c>
      <c r="E25" s="59" t="inlineStr">
        <is>
          <t>Baja</t>
        </is>
      </c>
      <c r="F25" s="59" t="inlineStr">
        <is>
          <t>Otro dia seleccionado en Cancha.</t>
        </is>
      </c>
      <c r="G25" s="59" t="inlineStr">
        <is>
          <t>Fecha distinta a hoy seleccionada</t>
        </is>
      </c>
      <c r="H25" s="59" t="inlineStr">
        <is>
          <t>1. 
2. Pulsar boton Ir a hoy)</t>
        </is>
      </c>
      <c r="I25" s="59" t="inlineStr">
        <is>
          <t>La fecha seleccionada es hoy y la lista de horarios corresponde a hoy.</t>
        </is>
      </c>
      <c r="J25" s="59" t="n"/>
      <c r="K25" s="59" t="inlineStr"/>
      <c r="L25" s="59" t="inlineStr">
        <is>
          <t>PENDIENTE</t>
        </is>
      </c>
      <c r="M25" s="59" t="n"/>
      <c r="N25" s="59" t="n"/>
      <c r="O25" s="59" t="n"/>
      <c r="P25" s="59" t="inlineStr">
        <is>
          <t>Ejecutar en celular + API activa</t>
        </is>
      </c>
    </row>
    <row r="26" ht="49.5" customHeight="1"/>
    <row r="27" ht="49.5" customHeight="1"/>
    <row r="28" ht="49.5" customHeight="1"/>
    <row r="29" ht="49.5" customHeight="1"/>
    <row r="30" ht="49.5" customHeight="1"/>
    <row r="31" ht="49.5" customHeight="1"/>
    <row r="32" ht="49.5" customHeight="1"/>
    <row r="33" ht="49.5" customHeight="1"/>
    <row r="34" ht="49.5" customHeight="1"/>
    <row r="35" ht="49.5" customHeight="1"/>
    <row r="36" ht="49.5" customHeight="1"/>
    <row r="37" ht="49.5" customHeight="1"/>
    <row r="38" ht="49.5" customHeight="1"/>
    <row r="39" ht="49.5" customHeight="1"/>
    <row r="40" ht="49.5" customHeight="1"/>
    <row r="41" ht="49.5" customHeight="1"/>
    <row r="42" ht="49.5" customHeight="1"/>
    <row r="43" ht="49.5" customHeight="1"/>
    <row r="44" ht="49.5" customHeight="1"/>
    <row r="45" ht="49.5" customHeight="1"/>
    <row r="46" ht="49.5" customHeight="1"/>
    <row r="47" ht="49.5" customHeight="1"/>
    <row r="48" ht="49.5" customHeight="1"/>
    <row r="49" ht="49.5" customHeight="1"/>
    <row r="50" ht="49.5" customHeight="1"/>
  </sheetData>
  <mergeCells count="2">
    <mergeCell ref="A1:P1"/>
    <mergeCell ref="A2:P2"/>
  </mergeCells>
  <conditionalFormatting sqref="A4:P500">
    <cfRule type="expression" priority="2" dxfId="20">
      <formula>$L4="PASS"</formula>
    </cfRule>
    <cfRule type="expression" priority="3" dxfId="19">
      <formula>$L4="FAIL"</formula>
    </cfRule>
    <cfRule type="expression" priority="4" dxfId="18">
      <formula>$L4="BLOQUEADO"</formula>
    </cfRule>
    <cfRule type="expression" priority="5" dxfId="17">
      <formula>$L4="OMITIDO"</formula>
    </cfRule>
  </conditionalFormatting>
  <conditionalFormatting sqref="E4:E500">
    <cfRule type="expression" priority="11" dxfId="4">
      <formula>$E4="Alta"</formula>
    </cfRule>
    <cfRule type="expression" priority="12" dxfId="3">
      <formula>$E4="Media"</formula>
    </cfRule>
    <cfRule type="expression" priority="13" dxfId="1">
      <formula>$E4="Baja"</formula>
    </cfRule>
  </conditionalFormatting>
  <conditionalFormatting sqref="L4:L500">
    <cfRule type="expression" priority="6" dxfId="1">
      <formula>$L4="PASS"</formula>
    </cfRule>
    <cfRule type="expression" priority="7" dxfId="4">
      <formula>$L4="FAIL"</formula>
    </cfRule>
    <cfRule type="expression" priority="8" dxfId="3">
      <formula>$L4="BLOQUEADO"</formula>
    </cfRule>
    <cfRule type="expression" priority="9" dxfId="2">
      <formula>$L4="PENDIENTE"</formula>
    </cfRule>
    <cfRule type="expression" priority="10" dxfId="0">
      <formula>$L4="OMITIDO"</formula>
    </cfRule>
  </conditionalFormatting>
  <dataValidations count="3">
    <dataValidation sqref="L4:L500" showDropDown="0" showInputMessage="0" showErrorMessage="1" allowBlank="1" errorTitle="Valor inválido" error="Seleccione: PENDIENTE, PASS, FAIL, BLOQUEADO u OMITIDO" type="list">
      <formula1>"PENDIENTE,PASS,FAIL,BLOQUEADO,OMITIDO"</formula1>
      <formula2>0</formula2>
    </dataValidation>
    <dataValidation sqref="D4:D500" showDropDown="0" showInputMessage="0" showErrorMessage="0" allowBlank="1" type="list">
      <formula1>"Funcional,Sistema,Integración,Regresión,Humo,Aceptación"</formula1>
      <formula2>0</formula2>
    </dataValidation>
    <dataValidation sqref="E4:E500" showDropDown="0" showInputMessage="0" showErrorMessage="0" allowBlank="1" type="list">
      <formula1>"Alta,Media,Baja"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"/>
  <sheetViews>
    <sheetView showGridLines="0" zoomScaleNormal="100" workbookViewId="0">
      <pane ySplit="3" topLeftCell="A4" activePane="bottomLeft" state="frozen"/>
      <selection pane="bottomLeft" activeCell="F9" sqref="F9"/>
    </sheetView>
  </sheetViews>
  <sheetFormatPr baseColWidth="8" defaultColWidth="8.7109375" defaultRowHeight="14.45"/>
  <cols>
    <col width="12" customWidth="1" min="1" max="1"/>
    <col width="14" customWidth="1" min="2" max="2"/>
    <col width="16" customWidth="1" min="3" max="3"/>
    <col width="31.28515625" customWidth="1" min="4" max="4"/>
    <col width="38.28515625" customWidth="1" min="5" max="5"/>
    <col width="32" customWidth="1" min="6" max="6"/>
    <col width="28" customWidth="1" min="7" max="8"/>
    <col width="12" customWidth="1" min="9" max="10"/>
    <col width="14" customWidth="1" min="11" max="11"/>
    <col width="16" customWidth="1" min="12" max="12"/>
    <col width="14" customWidth="1" min="13" max="14"/>
    <col width="24" customWidth="1" min="15" max="15"/>
  </cols>
  <sheetData>
    <row r="1" ht="31.5" customHeight="1">
      <c r="A1" s="41" t="inlineStr">
        <is>
          <t>REPORTE DE DEFECTOS</t>
        </is>
      </c>
    </row>
    <row r="2" ht="18" customHeight="1">
      <c r="A2" s="40" t="inlineStr">
        <is>
          <t>Registre cada defecto encontrado durante la ejecución de pruebas.</t>
        </is>
      </c>
    </row>
    <row r="3" ht="30" customHeight="1">
      <c r="A3" s="12" t="inlineStr">
        <is>
          <t>ID Defecto</t>
        </is>
      </c>
      <c r="B3" s="12" t="inlineStr">
        <is>
          <t>TC Relacionado</t>
        </is>
      </c>
      <c r="C3" s="12" t="inlineStr">
        <is>
          <t>Módulo</t>
        </is>
      </c>
      <c r="D3" s="12" t="inlineStr">
        <is>
          <t>Título</t>
        </is>
      </c>
      <c r="E3" s="12" t="inlineStr">
        <is>
          <t>Descripción</t>
        </is>
      </c>
      <c r="F3" s="12" t="inlineStr">
        <is>
          <t>Pasos para Reproducir</t>
        </is>
      </c>
      <c r="G3" s="12" t="inlineStr">
        <is>
          <t>Resultado Obtenido</t>
        </is>
      </c>
      <c r="H3" s="12" t="inlineStr">
        <is>
          <t>Resultado Esperado</t>
        </is>
      </c>
      <c r="I3" s="12" t="inlineStr">
        <is>
          <t>Severidad</t>
        </is>
      </c>
      <c r="J3" s="12" t="inlineStr">
        <is>
          <t>Prioridad</t>
        </is>
      </c>
      <c r="K3" s="12" t="inlineStr">
        <is>
          <t>Estado</t>
        </is>
      </c>
      <c r="L3" s="12" t="inlineStr">
        <is>
          <t>Asignado a</t>
        </is>
      </c>
      <c r="M3" s="12" t="inlineStr">
        <is>
          <t>Fecha Reporte</t>
        </is>
      </c>
      <c r="N3" s="12" t="inlineStr">
        <is>
          <t>Fecha Cierre</t>
        </is>
      </c>
      <c r="O3" s="12" t="inlineStr">
        <is>
          <t>Observaciones</t>
        </is>
      </c>
    </row>
    <row r="4" ht="149.45" customHeight="1"/>
    <row r="5" ht="48" customHeight="1"/>
    <row r="6" ht="48" customHeight="1"/>
    <row r="7" ht="48" customHeight="1"/>
    <row r="8" ht="48" customHeight="1"/>
    <row r="9" ht="48" customHeight="1"/>
    <row r="10" ht="48" customHeight="1"/>
    <row r="11" ht="48" customHeight="1"/>
    <row r="12" ht="48" customHeight="1"/>
    <row r="13" ht="48" customHeight="1"/>
    <row r="14" ht="48" customHeight="1"/>
    <row r="15" ht="48" customHeight="1"/>
    <row r="16" ht="48" customHeight="1"/>
    <row r="17" ht="48" customHeight="1"/>
    <row r="18" ht="48" customHeight="1"/>
    <row r="19" ht="48" customHeight="1"/>
    <row r="20" ht="48" customHeight="1"/>
    <row r="21" ht="48" customHeight="1"/>
    <row r="22" ht="48" customHeight="1"/>
    <row r="23" ht="48" customHeight="1"/>
    <row r="24" ht="48" customHeight="1"/>
    <row r="25" ht="48" customHeight="1"/>
    <row r="26" ht="48" customHeight="1"/>
    <row r="27" ht="48" customHeight="1"/>
    <row r="28" ht="48" customHeight="1"/>
    <row r="29" ht="48" customHeight="1"/>
    <row r="30" ht="48" customHeight="1"/>
    <row r="31" ht="48" customHeight="1"/>
    <row r="32" ht="48" customHeight="1"/>
    <row r="33" ht="48" customHeight="1"/>
    <row r="34" ht="48" customHeight="1"/>
    <row r="35" ht="48" customHeight="1"/>
    <row r="36" ht="48" customHeight="1"/>
    <row r="37" ht="48" customHeight="1"/>
    <row r="38" ht="48" customHeight="1"/>
    <row r="39" ht="48" customHeight="1"/>
    <row r="40" ht="48" customHeight="1"/>
    <row r="41" ht="48" customHeight="1"/>
    <row r="42" ht="48" customHeight="1"/>
    <row r="43" ht="48" customHeight="1"/>
    <row r="44" ht="48" customHeight="1"/>
    <row r="45" ht="48" customHeight="1"/>
    <row r="46" ht="48" customHeight="1"/>
    <row r="47" ht="48" customHeight="1"/>
    <row r="48" ht="48" customHeight="1"/>
    <row r="49" ht="48" customHeight="1"/>
    <row r="50" ht="48" customHeight="1"/>
  </sheetData>
  <mergeCells count="2">
    <mergeCell ref="A1:O1"/>
    <mergeCell ref="A2:O2"/>
  </mergeCells>
  <conditionalFormatting sqref="I4:I500">
    <cfRule type="expression" priority="2" dxfId="4">
      <formula>$I4="Crítica"</formula>
    </cfRule>
    <cfRule type="expression" priority="3" dxfId="3">
      <formula>$I4="Alta"</formula>
    </cfRule>
    <cfRule type="expression" priority="4" dxfId="2">
      <formula>$I4="Media"</formula>
    </cfRule>
    <cfRule type="expression" priority="5" dxfId="1">
      <formula>$I4="Baja"</formula>
    </cfRule>
  </conditionalFormatting>
  <conditionalFormatting sqref="K4:K500">
    <cfRule type="expression" priority="6" dxfId="4">
      <formula>$K4="Nuevo"</formula>
    </cfRule>
    <cfRule type="expression" priority="7" dxfId="3">
      <formula>$K4="En Corrección"</formula>
    </cfRule>
    <cfRule type="expression" priority="8" dxfId="2">
      <formula>$K4="Listo para Prueba"</formula>
    </cfRule>
    <cfRule type="expression" priority="9" dxfId="1">
      <formula>$K4="Cerrado"</formula>
    </cfRule>
    <cfRule type="expression" priority="10" dxfId="0">
      <formula>$K4="Rechazado"</formula>
    </cfRule>
  </conditionalFormatting>
  <dataValidations count="2">
    <dataValidation sqref="I4:I500" showDropDown="0" showInputMessage="0" showErrorMessage="0" allowBlank="1" type="list">
      <formula1>"Crítica,Alta,Media,Baja"</formula1>
      <formula2>0</formula2>
    </dataValidation>
    <dataValidation sqref="K4:K500" showDropDown="0" showInputMessage="0" showErrorMessage="0" allowBlank="1" type="list">
      <formula1>"Nuevo,En Análisis,En Corrección,Listo para Prueba,Cerrado,Rechazado,Diferido"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K21"/>
  <sheetViews>
    <sheetView showGridLines="0" zoomScaleNormal="100" workbookViewId="0">
      <selection activeCell="H21" sqref="H21"/>
    </sheetView>
  </sheetViews>
  <sheetFormatPr baseColWidth="8" defaultColWidth="8.7109375" defaultRowHeight="14.45"/>
  <cols>
    <col width="2" customWidth="1" min="1" max="1"/>
    <col width="22" customWidth="1" min="2" max="2"/>
    <col width="14" customWidth="1" min="3" max="3"/>
    <col width="12" customWidth="1" min="4" max="4"/>
    <col width="14" customWidth="1" min="5" max="7"/>
    <col width="12" customWidth="1" min="8" max="11"/>
  </cols>
  <sheetData>
    <row r="2" ht="36" customHeight="1">
      <c r="B2" s="33" t="inlineStr">
        <is>
          <t>DASHBOARD DE MÉTRICAS — CICLO DE PRUEBAS</t>
        </is>
      </c>
    </row>
    <row r="4" ht="21.75" customHeight="1">
      <c r="B4" s="47" t="inlineStr">
        <is>
          <t>Total de Casos</t>
        </is>
      </c>
      <c r="C4" s="57" t="n"/>
      <c r="D4" s="48" t="inlineStr">
        <is>
          <t>Ejecutados</t>
        </is>
      </c>
      <c r="E4" s="57" t="n"/>
      <c r="F4" s="49" t="inlineStr">
        <is>
          <t>PASS ✅</t>
        </is>
      </c>
      <c r="G4" s="57" t="n"/>
      <c r="H4" s="50" t="inlineStr">
        <is>
          <t>FAIL ❌</t>
        </is>
      </c>
      <c r="I4" s="57" t="n"/>
      <c r="J4" s="51" t="inlineStr">
        <is>
          <t>BLOQUEADOS ⚠️</t>
        </is>
      </c>
      <c r="K4" s="57" t="n"/>
    </row>
    <row r="5" ht="55.5" customHeight="1">
      <c r="B5" s="42">
        <f>COUNTA('Casos de Prueba'!A4:A500)</f>
        <v/>
      </c>
      <c r="C5" s="57" t="n"/>
      <c r="D5" s="43">
        <f>COUNTIF('Casos de Prueba'!L4:L500,"PASS")+COUNTIF('Casos de Prueba'!L4:L500,"FAIL")+COUNTIF('Casos de Prueba'!L4:L500,"BLOQUEADO")</f>
        <v/>
      </c>
      <c r="E5" s="57" t="n"/>
      <c r="F5" s="44">
        <f>COUNTIF('Casos de Prueba'!L4:L500,"PASS")</f>
        <v/>
      </c>
      <c r="G5" s="57" t="n"/>
      <c r="H5" s="45">
        <f>COUNTIF('Casos de Prueba'!L4:L500,"FAIL")</f>
        <v/>
      </c>
      <c r="I5" s="57" t="n"/>
      <c r="J5" s="46">
        <f>COUNTIF('Casos de Prueba'!L4:L500,"BLOQUEADO")</f>
        <v/>
      </c>
      <c r="K5" s="57" t="n"/>
    </row>
    <row r="6" ht="7.5" customHeight="1">
      <c r="B6" s="52" t="n"/>
      <c r="C6" s="57" t="n"/>
      <c r="D6" s="53" t="inlineStr">
        <is>
          <t>Happy Jump - ciclo entrega final</t>
        </is>
      </c>
      <c r="E6" s="57" t="n"/>
      <c r="F6" s="54" t="n"/>
      <c r="G6" s="57" t="n"/>
      <c r="H6" s="55" t="n"/>
      <c r="I6" s="57" t="n"/>
      <c r="J6" s="56" t="n"/>
      <c r="K6" s="57" t="n"/>
    </row>
    <row r="7">
      <c r="D7" t="inlineStr">
        <is>
          <t>2026-06-02</t>
        </is>
      </c>
    </row>
    <row r="8" ht="21.75" customHeight="1">
      <c r="B8" s="36" t="inlineStr">
        <is>
          <t>RESUMEN POR MÓDULO</t>
        </is>
      </c>
    </row>
    <row r="9" ht="21.75" customHeight="1">
      <c r="B9" s="1" t="inlineStr">
        <is>
          <t>Módulo</t>
        </is>
      </c>
      <c r="C9" s="1" t="inlineStr">
        <is>
          <t>Total</t>
        </is>
      </c>
      <c r="D9" s="1" t="inlineStr">
        <is>
          <t>PASS</t>
        </is>
      </c>
      <c r="E9" s="1" t="inlineStr">
        <is>
          <t>FAIL</t>
        </is>
      </c>
      <c r="F9" s="1" t="inlineStr">
        <is>
          <t>BLOQUEADO</t>
        </is>
      </c>
      <c r="G9" s="1" t="inlineStr">
        <is>
          <t>PENDIENTE</t>
        </is>
      </c>
      <c r="H9" s="1" t="inlineStr">
        <is>
          <t>% Éxito</t>
        </is>
      </c>
    </row>
    <row r="10" ht="21.75" customHeight="1">
      <c r="B10" s="13" t="inlineStr">
        <is>
          <t>Login</t>
        </is>
      </c>
      <c r="C10" s="14">
        <f>COUNTIF('Casos de Prueba'!B4:B500,"Login")</f>
        <v/>
      </c>
      <c r="D10" s="14">
        <f>COUNTIFS('Casos de Prueba'!B4:B500,"Login",'Casos de Prueba'!L4:L500,"FAIL")</f>
        <v/>
      </c>
      <c r="E10" s="14">
        <f>COUNTIFS('Casos de Prueba'!B4:B500,"Login",'Casos de Prueba'!L4:L500,"BLOQUEADO")</f>
        <v/>
      </c>
      <c r="F10" s="14">
        <f>COUNTIFS('Casos de Prueba'!B4:B500,"Login",'Casos de Prueba'!L4:L500,"PENDIENTE")</f>
        <v/>
      </c>
      <c r="H10" s="15">
        <f>IFERROR(COUNTIFS('Casos de Prueba'!B4:B500,"Login",'Casos de Prueba'!L4:L500,"PASS")/COUNTIF('Casos de Prueba'!B4:B500,"Login"),"—")</f>
        <v/>
      </c>
    </row>
    <row r="11" ht="21.75" customHeight="1">
      <c r="B11" s="16" t="inlineStr">
        <is>
          <t>Inventario</t>
        </is>
      </c>
      <c r="C11" s="17">
        <f>COUNTIF('Casos de Prueba'!B4:B500,"Inventario")</f>
        <v/>
      </c>
      <c r="D11" s="17">
        <f>COUNTIFS('Casos de Prueba'!B4:B500,"Inventario",'Casos de Prueba'!L4:L500,"FAIL")</f>
        <v/>
      </c>
      <c r="E11" s="17">
        <f>COUNTIFS('Casos de Prueba'!B4:B500,"Inventario",'Casos de Prueba'!L4:L500,"BLOQUEADO")</f>
        <v/>
      </c>
      <c r="F11" s="17">
        <f>COUNTIFS('Casos de Prueba'!B4:B500,"Inventario",'Casos de Prueba'!L4:L500,"PENDIENTE")</f>
        <v/>
      </c>
      <c r="H11" s="18">
        <f>IFERROR(COUNTIFS('Casos de Prueba'!B4:B500,"Inventario",'Casos de Prueba'!L4:L500,"PASS")/COUNTIF('Casos de Prueba'!B4:B500,"Inventario"),"—")</f>
        <v/>
      </c>
    </row>
    <row r="12" ht="21.75" customHeight="1">
      <c r="B12" s="13" t="inlineStr">
        <is>
          <t>Carrito</t>
        </is>
      </c>
      <c r="C12" s="14">
        <f>COUNTIF('Casos de Prueba'!B4:B500,"Carrito")</f>
        <v/>
      </c>
      <c r="D12" s="14">
        <f>COUNTIFS('Casos de Prueba'!B4:B500,"Carrito",'Casos de Prueba'!L4:L500,"FAIL")</f>
        <v/>
      </c>
      <c r="E12" s="14">
        <f>COUNTIFS('Casos de Prueba'!B4:B500,"Carrito",'Casos de Prueba'!L4:L500,"BLOQUEADO")</f>
        <v/>
      </c>
      <c r="F12" s="14">
        <f>COUNTIFS('Casos de Prueba'!B4:B500,"Carrito",'Casos de Prueba'!L4:L500,"PENDIENTE")</f>
        <v/>
      </c>
      <c r="H12" s="15">
        <f>IFERROR(COUNTIFS('Casos de Prueba'!B4:B500,"Carrito",'Casos de Prueba'!L4:L500,"PASS")/COUNTIF('Casos de Prueba'!B4:B500,"Carrito"),"—")</f>
        <v/>
      </c>
    </row>
    <row r="13" ht="21.75" customHeight="1">
      <c r="B13" s="27" t="inlineStr">
        <is>
          <t>Orden de compra</t>
        </is>
      </c>
      <c r="C13" s="17">
        <f>COUNTIF('Casos de Prueba'!B4:B500,"Checkout")</f>
        <v/>
      </c>
      <c r="D13" s="17">
        <f>COUNTIFS('Casos de Prueba'!B4:B500,"Checkout",'Casos de Prueba'!L4:L500,"FAIL")</f>
        <v/>
      </c>
      <c r="E13" s="17">
        <f>COUNTIFS('Casos de Prueba'!B4:B500,"Checkout",'Casos de Prueba'!L4:L500,"BLOQUEADO")</f>
        <v/>
      </c>
      <c r="F13" s="17">
        <f>COUNTIFS('Casos de Prueba'!B4:B500,"Checkout",'Casos de Prueba'!L4:L500,"PENDIENTE")</f>
        <v/>
      </c>
      <c r="H13" s="18">
        <f>IFERROR(COUNTIFS('Casos de Prueba'!B4:B500,"Checkout",'Casos de Prueba'!L4:L500,"PASS")/COUNTIF('Casos de Prueba'!B4:B500,"Checkout"),"—")</f>
        <v/>
      </c>
    </row>
    <row r="14" ht="21.75" customHeight="1">
      <c r="B14" s="13" t="inlineStr">
        <is>
          <t>Sistema</t>
        </is>
      </c>
      <c r="C14" s="14">
        <f>COUNTIF('Casos de Prueba'!B4:B500,"Sistema")</f>
        <v/>
      </c>
      <c r="D14" s="14">
        <f>COUNTIFS('Casos de Prueba'!B4:B500,"Sistema",'Casos de Prueba'!L4:L500,"FAIL")</f>
        <v/>
      </c>
      <c r="E14" s="14">
        <f>COUNTIFS('Casos de Prueba'!B4:B500,"Sistema",'Casos de Prueba'!L4:L500,"BLOQUEADO")</f>
        <v/>
      </c>
      <c r="F14" s="14">
        <f>COUNTIFS('Casos de Prueba'!B4:B500,"Sistema",'Casos de Prueba'!L4:L500,"PENDIENTE")</f>
        <v/>
      </c>
      <c r="H14" s="15">
        <f>IFERROR(COUNTIFS('Casos de Prueba'!B4:B500,"Sistema",'Casos de Prueba'!L4:L500,"PASS")/COUNTIF('Casos de Prueba'!B4:B500,"Sistema"),"—")</f>
        <v/>
      </c>
    </row>
    <row r="16" ht="21.75" customHeight="1">
      <c r="B16" s="36" t="inlineStr">
        <is>
          <t>DEFECTOS POR SEVERIDAD</t>
        </is>
      </c>
    </row>
    <row r="17" ht="21.75" customHeight="1">
      <c r="B17" s="1" t="inlineStr">
        <is>
          <t>Severidad</t>
        </is>
      </c>
      <c r="C17" s="1" t="inlineStr">
        <is>
          <t>Total</t>
        </is>
      </c>
      <c r="D17" s="1" t="inlineStr">
        <is>
          <t>Nuevos</t>
        </is>
      </c>
      <c r="E17" s="1" t="inlineStr">
        <is>
          <t>En Corrección</t>
        </is>
      </c>
      <c r="F17" s="1" t="inlineStr">
        <is>
          <t>Cerrados</t>
        </is>
      </c>
    </row>
    <row r="18" ht="21.75" customHeight="1">
      <c r="B18" s="5" t="inlineStr">
        <is>
          <t>Crítica</t>
        </is>
      </c>
      <c r="C18" s="19">
        <f>COUNTIF(Defectos!I4:I500,"Crítica")</f>
        <v/>
      </c>
      <c r="D18" s="19">
        <f>COUNTIFS(Defectos!I4:I500,"Crítica",Defectos!K4:K500,"Nuevo")</f>
        <v/>
      </c>
      <c r="E18" s="19">
        <f>COUNTIFS(Defectos!I4:I500,"Crítica",Defectos!K4:K500,"En Corrección")</f>
        <v/>
      </c>
      <c r="F18" s="19">
        <f>COUNTIFS(Defectos!I4:I500,"Crítica",Defectos!K4:K500,"Cerrado")</f>
        <v/>
      </c>
    </row>
    <row r="19" ht="21.75" customHeight="1">
      <c r="B19" s="6" t="inlineStr">
        <is>
          <t>Alta</t>
        </is>
      </c>
      <c r="C19" s="20">
        <f>COUNTIF(Defectos!I4:I500,"Alta")</f>
        <v/>
      </c>
      <c r="D19" s="20">
        <f>COUNTIFS(Defectos!I4:I500,"Alta",Defectos!K4:K500,"Nuevo")</f>
        <v/>
      </c>
      <c r="E19" s="20">
        <f>COUNTIFS(Defectos!I4:I500,"Alta",Defectos!K4:K500,"En Corrección")</f>
        <v/>
      </c>
      <c r="F19" s="20">
        <f>COUNTIFS(Defectos!I4:I500,"Alta",Defectos!K4:K500,"Cerrado")</f>
        <v/>
      </c>
    </row>
    <row r="20" ht="21.75" customHeight="1">
      <c r="B20" s="7" t="inlineStr">
        <is>
          <t>Media</t>
        </is>
      </c>
      <c r="C20" s="21">
        <f>COUNTIF(Defectos!I4:I500,"Media")</f>
        <v/>
      </c>
      <c r="D20" s="21">
        <f>COUNTIFS(Defectos!I4:I500,"Media",Defectos!K4:K500,"Nuevo")</f>
        <v/>
      </c>
      <c r="E20" s="21">
        <f>COUNTIFS(Defectos!I4:I500,"Media",Defectos!K4:K500,"En Corrección")</f>
        <v/>
      </c>
      <c r="F20" s="21">
        <f>COUNTIFS(Defectos!I4:I500,"Media",Defectos!K4:K500,"Cerrado")</f>
        <v/>
      </c>
    </row>
    <row r="21" ht="21.75" customHeight="1">
      <c r="B21" s="4" t="inlineStr">
        <is>
          <t>Baja</t>
        </is>
      </c>
      <c r="C21" s="22">
        <f>COUNTIF(Defectos!I4:I500,"Baja")</f>
        <v/>
      </c>
      <c r="D21" s="22">
        <f>COUNTIFS(Defectos!I4:I500,"Baja",Defectos!K4:K500,"Nuevo")</f>
        <v/>
      </c>
      <c r="E21" s="22">
        <f>COUNTIFS(Defectos!I4:I500,"Baja",Defectos!K4:K500,"En Corrección")</f>
        <v/>
      </c>
      <c r="F21" s="22">
        <f>COUNTIFS(Defectos!I4:I500,"Baja",Defectos!K4:K500,"Cerrado")</f>
        <v/>
      </c>
    </row>
  </sheetData>
  <mergeCells count="18">
    <mergeCell ref="F4:G4"/>
    <mergeCell ref="B6:C6"/>
    <mergeCell ref="J4:K4"/>
    <mergeCell ref="D6:E6"/>
    <mergeCell ref="B8:K8"/>
    <mergeCell ref="H6:I6"/>
    <mergeCell ref="J5:K5"/>
    <mergeCell ref="J6:K6"/>
    <mergeCell ref="B5:C5"/>
    <mergeCell ref="F5:G5"/>
    <mergeCell ref="D5:E5"/>
    <mergeCell ref="B2:K2"/>
    <mergeCell ref="H5:I5"/>
    <mergeCell ref="D4:E4"/>
    <mergeCell ref="F6:G6"/>
    <mergeCell ref="H4:I4"/>
    <mergeCell ref="B16:K16"/>
    <mergeCell ref="B4:C4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42"/>
  <sheetViews>
    <sheetView showGridLines="0" tabSelected="1" topLeftCell="A6" zoomScaleNormal="100" workbookViewId="0">
      <selection activeCell="M20" sqref="M20"/>
    </sheetView>
  </sheetViews>
  <sheetFormatPr baseColWidth="8" defaultColWidth="8.7109375" defaultRowHeight="14.45"/>
  <cols>
    <col width="2" customWidth="1" min="1" max="1"/>
    <col width="80" customWidth="1" min="2" max="2"/>
    <col width="14" customWidth="1" min="3" max="4"/>
  </cols>
  <sheetData>
    <row r="2" ht="36" customHeight="1">
      <c r="B2" s="33" t="inlineStr">
        <is>
          <t>GUÍA DE USO — PLANTILLA DE PRUEBAS</t>
        </is>
      </c>
    </row>
    <row r="4" ht="24" customHeight="1">
      <c r="B4" s="32" t="inlineStr">
        <is>
          <t>1. ESTÁNDAR APLICADO</t>
        </is>
      </c>
    </row>
    <row r="5" ht="21.75" customHeight="1">
      <c r="B5" s="29" t="inlineStr">
        <is>
          <t xml:space="preserve">   Esta plantilla sigue el estándar IEEE 829 (Test Documentation) y prácticas de ISO/IEC 29119.</t>
        </is>
      </c>
      <c r="C5" s="57" t="n"/>
      <c r="D5" s="57" t="n"/>
      <c r="E5" s="57" t="n"/>
      <c r="F5" s="57" t="n"/>
      <c r="G5" s="57" t="n"/>
      <c r="H5" s="57" t="n"/>
      <c r="I5" s="57" t="n"/>
      <c r="J5" s="57" t="n"/>
      <c r="K5" s="57" t="n"/>
    </row>
    <row r="6" ht="21.75" customHeight="1">
      <c r="B6" s="28" t="inlineStr">
        <is>
          <t xml:space="preserve">   Usada en la industria por equipos QA en empresas como Google, Microsoft, Amazon e IBM.</t>
        </is>
      </c>
      <c r="C6" s="57" t="n"/>
      <c r="D6" s="57" t="n"/>
      <c r="E6" s="57" t="n"/>
      <c r="F6" s="57" t="n"/>
      <c r="G6" s="57" t="n"/>
      <c r="H6" s="57" t="n"/>
      <c r="I6" s="57" t="n"/>
      <c r="J6" s="57" t="n"/>
      <c r="K6" s="57" t="n"/>
    </row>
    <row r="7" ht="21.75" customHeight="1">
      <c r="B7" s="29" t="inlineStr">
        <is>
          <t xml:space="preserve">   Compatible con herramientas como Jira, TestRail, Zephyr y Azure DevOps.</t>
        </is>
      </c>
      <c r="C7" s="57" t="n"/>
      <c r="D7" s="57" t="n"/>
      <c r="E7" s="57" t="n"/>
      <c r="F7" s="57" t="n"/>
      <c r="G7" s="57" t="n"/>
      <c r="H7" s="57" t="n"/>
      <c r="I7" s="57" t="n"/>
      <c r="J7" s="57" t="n"/>
      <c r="K7" s="57" t="n"/>
    </row>
    <row r="8" ht="7.5" customHeight="1"/>
    <row r="9" ht="24" customHeight="1">
      <c r="B9" s="31" t="inlineStr">
        <is>
          <t>2. PROCESO DE PRUEBA — CÓMO USARLA</t>
        </is>
      </c>
    </row>
    <row r="10" ht="21.75" customHeight="1">
      <c r="B10" s="28" t="inlineStr">
        <is>
          <t xml:space="preserve">   PASO 1 — PLANIFICACIÓN: Complete la hoja 'Plan de Pruebas' con la información del proyecto.</t>
        </is>
      </c>
      <c r="C10" s="57" t="n"/>
      <c r="D10" s="57" t="n"/>
      <c r="E10" s="57" t="n"/>
      <c r="F10" s="57" t="n"/>
      <c r="G10" s="57" t="n"/>
      <c r="H10" s="57" t="n"/>
      <c r="I10" s="57" t="n"/>
      <c r="J10" s="57" t="n"/>
      <c r="K10" s="57" t="n"/>
    </row>
    <row r="11" ht="21.75" customHeight="1">
      <c r="B11" s="29" t="inlineStr">
        <is>
          <t xml:space="preserve">   PASO 2 — DISEÑO: En 'Casos de Prueba' documente cada caso con ID único, precondiciones, pasos y resultado esperado.</t>
        </is>
      </c>
      <c r="C11" s="57" t="n"/>
      <c r="D11" s="57" t="n"/>
      <c r="E11" s="57" t="n"/>
      <c r="F11" s="57" t="n"/>
      <c r="G11" s="57" t="n"/>
      <c r="H11" s="57" t="n"/>
      <c r="I11" s="57" t="n"/>
      <c r="J11" s="57" t="n"/>
      <c r="K11" s="57" t="n"/>
    </row>
    <row r="12" ht="21.75" customHeight="1">
      <c r="B12" s="28" t="inlineStr">
        <is>
          <t xml:space="preserve">   PASO 3 — EJECUCIÓN: Para cada caso ejecutado, registre el resultado obtenido y seleccione el estado del dropdown.</t>
        </is>
      </c>
      <c r="C12" s="57" t="n"/>
      <c r="D12" s="57" t="n"/>
      <c r="E12" s="57" t="n"/>
      <c r="F12" s="57" t="n"/>
      <c r="G12" s="57" t="n"/>
      <c r="H12" s="57" t="n"/>
      <c r="I12" s="57" t="n"/>
      <c r="J12" s="57" t="n"/>
      <c r="K12" s="57" t="n"/>
    </row>
    <row r="13" ht="21.75" customHeight="1">
      <c r="B13" s="29" t="inlineStr">
        <is>
          <t xml:space="preserve">   PASO 4 — DEFECTOS: Cuando un caso resulta FAIL, cree un registro en 'Defectos' con el ID del bug.</t>
        </is>
      </c>
      <c r="C13" s="57" t="n"/>
      <c r="D13" s="57" t="n"/>
      <c r="E13" s="57" t="n"/>
      <c r="F13" s="57" t="n"/>
      <c r="G13" s="57" t="n"/>
      <c r="H13" s="57" t="n"/>
      <c r="I13" s="57" t="n"/>
      <c r="J13" s="57" t="n"/>
      <c r="K13" s="57" t="n"/>
    </row>
    <row r="14" ht="21.75" customHeight="1">
      <c r="B14" s="28" t="inlineStr">
        <is>
          <t xml:space="preserve">   PASO 5 — REPORTE: La hoja 'Métricas' se actualiza automáticamente con los resultados.</t>
        </is>
      </c>
      <c r="C14" s="57" t="n"/>
      <c r="D14" s="57" t="n"/>
      <c r="E14" s="57" t="n"/>
      <c r="F14" s="57" t="n"/>
      <c r="G14" s="57" t="n"/>
      <c r="H14" s="57" t="n"/>
      <c r="I14" s="57" t="n"/>
      <c r="J14" s="57" t="n"/>
      <c r="K14" s="57" t="n"/>
    </row>
    <row r="15" ht="7.5" customHeight="1"/>
    <row r="16" ht="24" customHeight="1">
      <c r="B16" s="30" t="inlineStr">
        <is>
          <t>3. CONVENCIÓN DE IDs</t>
        </is>
      </c>
    </row>
    <row r="17" ht="21.75" customHeight="1">
      <c r="B17" s="29" t="inlineStr">
        <is>
          <t xml:space="preserve">   Casos funcionales:  TC-F-001, TC-F-002 ...</t>
        </is>
      </c>
      <c r="C17" s="57" t="n"/>
      <c r="D17" s="57" t="n"/>
      <c r="E17" s="57" t="n"/>
      <c r="F17" s="57" t="n"/>
      <c r="G17" s="57" t="n"/>
      <c r="H17" s="57" t="n"/>
      <c r="I17" s="57" t="n"/>
      <c r="J17" s="57" t="n"/>
      <c r="K17" s="57" t="n"/>
    </row>
    <row r="18" ht="21.75" customHeight="1">
      <c r="B18" s="28" t="inlineStr">
        <is>
          <t xml:space="preserve">   Casos de sistema:   TC-S-001, TC-S-002 ...</t>
        </is>
      </c>
      <c r="C18" s="57" t="n"/>
      <c r="D18" s="57" t="n"/>
      <c r="E18" s="57" t="n"/>
      <c r="F18" s="57" t="n"/>
      <c r="G18" s="57" t="n"/>
      <c r="H18" s="57" t="n"/>
      <c r="I18" s="57" t="n"/>
      <c r="J18" s="57" t="n"/>
      <c r="K18" s="57" t="n"/>
    </row>
    <row r="19" ht="21.75" customHeight="1">
      <c r="B19" s="29" t="inlineStr">
        <is>
          <t xml:space="preserve">   Casos de regresión: TC-R-001, TC-R-002 ...</t>
        </is>
      </c>
      <c r="C19" s="57" t="n"/>
      <c r="D19" s="57" t="n"/>
      <c r="E19" s="57" t="n"/>
      <c r="F19" s="57" t="n"/>
      <c r="G19" s="57" t="n"/>
      <c r="H19" s="57" t="n"/>
      <c r="I19" s="57" t="n"/>
      <c r="J19" s="57" t="n"/>
      <c r="K19" s="57" t="n"/>
    </row>
    <row r="20" ht="21.75" customHeight="1">
      <c r="B20" s="28" t="inlineStr">
        <is>
          <t xml:space="preserve">   Defectos:           BUG-001, BUG-002 ...</t>
        </is>
      </c>
      <c r="C20" s="57" t="n"/>
      <c r="D20" s="57" t="n"/>
      <c r="E20" s="57" t="n"/>
      <c r="F20" s="57" t="n"/>
      <c r="G20" s="57" t="n"/>
      <c r="H20" s="57" t="n"/>
      <c r="I20" s="57" t="n"/>
      <c r="J20" s="57" t="n"/>
      <c r="K20" s="57" t="n"/>
    </row>
    <row r="21" ht="7.5" customHeight="1"/>
    <row r="22" ht="24" customHeight="1">
      <c r="B22" s="32" t="inlineStr">
        <is>
          <t>4. SEVERIDAD DE DEFECTOS</t>
        </is>
      </c>
    </row>
    <row r="23" ht="21.75" customHeight="1">
      <c r="B23" s="29" t="inlineStr">
        <is>
          <t xml:space="preserve">   CRÍTICA  → El sistema no puede continuar. Pérdida de datos o falla total. Requiere corrección inmediata.</t>
        </is>
      </c>
      <c r="C23" s="57" t="n"/>
      <c r="D23" s="57" t="n"/>
      <c r="E23" s="57" t="n"/>
      <c r="F23" s="57" t="n"/>
      <c r="G23" s="57" t="n"/>
      <c r="H23" s="57" t="n"/>
      <c r="I23" s="57" t="n"/>
      <c r="J23" s="57" t="n"/>
      <c r="K23" s="57" t="n"/>
    </row>
    <row r="24" ht="21.75" customHeight="1">
      <c r="B24" s="28" t="inlineStr">
        <is>
          <t xml:space="preserve">   ALTA     → Funcionalidad principal afectada. No hay workaround viable.</t>
        </is>
      </c>
      <c r="C24" s="57" t="n"/>
      <c r="D24" s="57" t="n"/>
      <c r="E24" s="57" t="n"/>
      <c r="F24" s="57" t="n"/>
      <c r="G24" s="57" t="n"/>
      <c r="H24" s="57" t="n"/>
      <c r="I24" s="57" t="n"/>
      <c r="J24" s="57" t="n"/>
      <c r="K24" s="57" t="n"/>
    </row>
    <row r="25" ht="21.75" customHeight="1">
      <c r="B25" s="29" t="inlineStr">
        <is>
          <t xml:space="preserve">   MEDIA    → Funcionalidad afectada pero existe workaround. Corregir en próximo sprint.</t>
        </is>
      </c>
      <c r="C25" s="57" t="n"/>
      <c r="D25" s="57" t="n"/>
      <c r="E25" s="57" t="n"/>
      <c r="F25" s="57" t="n"/>
      <c r="G25" s="57" t="n"/>
      <c r="H25" s="57" t="n"/>
      <c r="I25" s="57" t="n"/>
      <c r="J25" s="57" t="n"/>
      <c r="K25" s="57" t="n"/>
    </row>
    <row r="26" ht="21.75" customHeight="1">
      <c r="B26" s="28" t="inlineStr">
        <is>
          <t xml:space="preserve">   BAJA     → Problema cosmético o de UX menor. Planificar para backlog.</t>
        </is>
      </c>
      <c r="C26" s="57" t="n"/>
      <c r="D26" s="57" t="n"/>
      <c r="E26" s="57" t="n"/>
      <c r="F26" s="57" t="n"/>
      <c r="G26" s="57" t="n"/>
      <c r="H26" s="57" t="n"/>
      <c r="I26" s="57" t="n"/>
      <c r="J26" s="57" t="n"/>
      <c r="K26" s="57" t="n"/>
    </row>
    <row r="27" ht="7.5" customHeight="1"/>
    <row r="28" ht="24" customHeight="1">
      <c r="B28" s="31" t="inlineStr">
        <is>
          <t>5. BUENAS PRÁCTICAS DEL SECTOR</t>
        </is>
      </c>
    </row>
    <row r="29" ht="21.75" customHeight="1">
      <c r="B29" s="29" t="inlineStr">
        <is>
          <t xml:space="preserve">   ✅ Un caso de prueba = UN escenario específico. No combinar múltiples escenarios.</t>
        </is>
      </c>
      <c r="C29" s="57" t="n"/>
      <c r="D29" s="57" t="n"/>
      <c r="E29" s="57" t="n"/>
      <c r="F29" s="57" t="n"/>
      <c r="G29" s="57" t="n"/>
      <c r="H29" s="57" t="n"/>
      <c r="I29" s="57" t="n"/>
      <c r="J29" s="57" t="n"/>
      <c r="K29" s="57" t="n"/>
    </row>
    <row r="30" ht="21.75" customHeight="1">
      <c r="B30" s="28" t="inlineStr">
        <is>
          <t xml:space="preserve">   ✅ Los pasos deben ser reproducibles por cualquier persona del equipo.</t>
        </is>
      </c>
      <c r="C30" s="57" t="n"/>
      <c r="D30" s="57" t="n"/>
      <c r="E30" s="57" t="n"/>
      <c r="F30" s="57" t="n"/>
      <c r="G30" s="57" t="n"/>
      <c r="H30" s="57" t="n"/>
      <c r="I30" s="57" t="n"/>
      <c r="J30" s="57" t="n"/>
      <c r="K30" s="57" t="n"/>
    </row>
    <row r="31" ht="21.75" customHeight="1">
      <c r="B31" s="29" t="inlineStr">
        <is>
          <t xml:space="preserve">   ✅ El resultado esperado debe ser medible y verificable (no 'funciona correctamente').</t>
        </is>
      </c>
      <c r="C31" s="57" t="n"/>
      <c r="D31" s="57" t="n"/>
      <c r="E31" s="57" t="n"/>
      <c r="F31" s="57" t="n"/>
      <c r="G31" s="57" t="n"/>
      <c r="H31" s="57" t="n"/>
      <c r="I31" s="57" t="n"/>
      <c r="J31" s="57" t="n"/>
      <c r="K31" s="57" t="n"/>
    </row>
    <row r="32" ht="21.75" customHeight="1">
      <c r="B32" s="28" t="inlineStr">
        <is>
          <t xml:space="preserve">   ✅ Siempre incluir evidencia (screenshot, log) cuando el resultado es FAIL.</t>
        </is>
      </c>
      <c r="C32" s="57" t="n"/>
      <c r="D32" s="57" t="n"/>
      <c r="E32" s="57" t="n"/>
      <c r="F32" s="57" t="n"/>
      <c r="G32" s="57" t="n"/>
      <c r="H32" s="57" t="n"/>
      <c r="I32" s="57" t="n"/>
      <c r="J32" s="57" t="n"/>
      <c r="K32" s="57" t="n"/>
    </row>
    <row r="33" ht="21.75" customHeight="1">
      <c r="B33" s="29" t="inlineStr">
        <is>
          <t xml:space="preserve">   ✅ Cada defecto debe referir el ID del caso de prueba que lo detectó.</t>
        </is>
      </c>
      <c r="C33" s="57" t="n"/>
      <c r="D33" s="57" t="n"/>
      <c r="E33" s="57" t="n"/>
      <c r="F33" s="57" t="n"/>
      <c r="G33" s="57" t="n"/>
      <c r="H33" s="57" t="n"/>
      <c r="I33" s="57" t="n"/>
      <c r="J33" s="57" t="n"/>
      <c r="K33" s="57" t="n"/>
    </row>
    <row r="34" ht="21.75" customHeight="1">
      <c r="B34" s="28" t="inlineStr">
        <is>
          <t xml:space="preserve">   ✅ Actualizar el estado diariamente durante la ejecución del ciclo.</t>
        </is>
      </c>
      <c r="C34" s="57" t="n"/>
      <c r="D34" s="57" t="n"/>
      <c r="E34" s="57" t="n"/>
      <c r="F34" s="57" t="n"/>
      <c r="G34" s="57" t="n"/>
      <c r="H34" s="57" t="n"/>
      <c r="I34" s="57" t="n"/>
      <c r="J34" s="57" t="n"/>
      <c r="K34" s="57" t="n"/>
    </row>
    <row r="35" ht="21.75" customHeight="1">
      <c r="B35" s="29" t="inlineStr">
        <is>
          <t xml:space="preserve">   ✅ Al cerrar el ciclo, el % de éxito mínimo aceptado por la industria es 95%.</t>
        </is>
      </c>
      <c r="C35" s="57" t="n"/>
      <c r="D35" s="57" t="n"/>
      <c r="E35" s="57" t="n"/>
      <c r="F35" s="57" t="n"/>
      <c r="G35" s="57" t="n"/>
      <c r="H35" s="57" t="n"/>
      <c r="I35" s="57" t="n"/>
      <c r="J35" s="57" t="n"/>
      <c r="K35" s="57" t="n"/>
    </row>
    <row r="36" ht="7.5" customHeight="1"/>
    <row r="37" ht="24" customHeight="1">
      <c r="B37" s="30" t="inlineStr">
        <is>
          <t>6. CRITERIOS DE SALIDA (EXIT CRITERIA)</t>
        </is>
      </c>
    </row>
    <row r="38" ht="21.75" customHeight="1">
      <c r="B38" s="28" t="inlineStr">
        <is>
          <t xml:space="preserve">   El ciclo de pruebas se considera completo cuando:</t>
        </is>
      </c>
      <c r="C38" s="57" t="n"/>
      <c r="D38" s="57" t="n"/>
      <c r="E38" s="57" t="n"/>
      <c r="F38" s="57" t="n"/>
      <c r="G38" s="57" t="n"/>
      <c r="H38" s="57" t="n"/>
      <c r="I38" s="57" t="n"/>
      <c r="J38" s="57" t="n"/>
      <c r="K38" s="57" t="n"/>
    </row>
    <row r="39" ht="21.75" customHeight="1">
      <c r="B39" s="29" t="inlineStr">
        <is>
          <t xml:space="preserve">   → 100% de los casos de alta prioridad han sido ejecutados.</t>
        </is>
      </c>
      <c r="C39" s="57" t="n"/>
      <c r="D39" s="57" t="n"/>
      <c r="E39" s="57" t="n"/>
      <c r="F39" s="57" t="n"/>
      <c r="G39" s="57" t="n"/>
      <c r="H39" s="57" t="n"/>
      <c r="I39" s="57" t="n"/>
      <c r="J39" s="57" t="n"/>
      <c r="K39" s="57" t="n"/>
    </row>
    <row r="40" ht="21.75" customHeight="1">
      <c r="B40" s="28" t="inlineStr">
        <is>
          <t xml:space="preserve">   → 0 defectos de severidad Crítica o Alta en estado Abierto.</t>
        </is>
      </c>
      <c r="C40" s="57" t="n"/>
      <c r="D40" s="57" t="n"/>
      <c r="E40" s="57" t="n"/>
      <c r="F40" s="57" t="n"/>
      <c r="G40" s="57" t="n"/>
      <c r="H40" s="57" t="n"/>
      <c r="I40" s="57" t="n"/>
      <c r="J40" s="57" t="n"/>
      <c r="K40" s="57" t="n"/>
    </row>
    <row r="41" ht="21.75" customHeight="1">
      <c r="B41" s="29" t="inlineStr">
        <is>
          <t xml:space="preserve">   → 95% o más de los casos ejecutados tienen resultado PASS.</t>
        </is>
      </c>
      <c r="C41" s="57" t="n"/>
      <c r="D41" s="57" t="n"/>
      <c r="E41" s="57" t="n"/>
      <c r="F41" s="57" t="n"/>
      <c r="G41" s="57" t="n"/>
      <c r="H41" s="57" t="n"/>
      <c r="I41" s="57" t="n"/>
      <c r="J41" s="57" t="n"/>
      <c r="K41" s="57" t="n"/>
    </row>
    <row r="42" ht="21.75" customHeight="1">
      <c r="B42" s="28" t="inlineStr">
        <is>
          <t xml:space="preserve">   → Todos los defectos reportados han sido evaluados (no necesariamente cerrados).</t>
        </is>
      </c>
      <c r="C42" s="57" t="n"/>
      <c r="D42" s="57" t="n"/>
      <c r="E42" s="57" t="n"/>
      <c r="F42" s="57" t="n"/>
      <c r="G42" s="57" t="n"/>
      <c r="H42" s="57" t="n"/>
      <c r="I42" s="57" t="n"/>
      <c r="J42" s="57" t="n"/>
      <c r="K42" s="57" t="n"/>
    </row>
    <row r="43" ht="7.5" customHeight="1"/>
  </sheetData>
  <mergeCells count="35">
    <mergeCell ref="B40:K40"/>
    <mergeCell ref="B9:K9"/>
    <mergeCell ref="B30:K30"/>
    <mergeCell ref="B6:K6"/>
    <mergeCell ref="B24:K24"/>
    <mergeCell ref="B20:K20"/>
    <mergeCell ref="B33:K33"/>
    <mergeCell ref="B5:K5"/>
    <mergeCell ref="B41:K41"/>
    <mergeCell ref="B32:K32"/>
    <mergeCell ref="B4:K4"/>
    <mergeCell ref="B26:K26"/>
    <mergeCell ref="B35:K35"/>
    <mergeCell ref="B7:K7"/>
    <mergeCell ref="B25:K25"/>
    <mergeCell ref="B16:K16"/>
    <mergeCell ref="B31:K31"/>
    <mergeCell ref="B22:K22"/>
    <mergeCell ref="B18:K18"/>
    <mergeCell ref="B12:K12"/>
    <mergeCell ref="B39:K39"/>
    <mergeCell ref="B2:K2"/>
    <mergeCell ref="B11:K11"/>
    <mergeCell ref="B42:K42"/>
    <mergeCell ref="B23:K23"/>
    <mergeCell ref="B14:K14"/>
    <mergeCell ref="B17:K17"/>
    <mergeCell ref="B13:K13"/>
    <mergeCell ref="B29:K29"/>
    <mergeCell ref="B38:K38"/>
    <mergeCell ref="B34:K34"/>
    <mergeCell ref="B10:K10"/>
    <mergeCell ref="B28:K28"/>
    <mergeCell ref="B19:K19"/>
    <mergeCell ref="B37:K37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2026-05-21T00:17:08Z</dcterms:created>
  <dcterms:modified xsi:type="dcterms:W3CDTF">2026-06-02T23:51:43Z</dcterms:modified>
  <cp:revision>0</cp:revision>
</cp:coreProperties>
</file>