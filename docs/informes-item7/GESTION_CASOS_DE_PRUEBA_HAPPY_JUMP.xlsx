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apphappy-full\docs\informes-item7\"/>
    </mc:Choice>
  </mc:AlternateContent>
  <xr:revisionPtr revIDLastSave="0" documentId="13_ncr:1_{C4531CA6-F565-400F-8159-F4E5CB3C7F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rtada" sheetId="1" r:id="rId1"/>
    <sheet name="Casos de prueba" sheetId="2" r:id="rId2"/>
    <sheet name="Trazabilidad REQ" sheetId="3" r:id="rId3"/>
    <sheet name="Ejecución" sheetId="4" r:id="rId4"/>
    <sheet name="Defectos" sheetId="5" r:id="rId5"/>
    <sheet name="Resumen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3" i="6" l="1"/>
  <c r="B11" i="6"/>
  <c r="B10" i="6"/>
  <c r="B9" i="6"/>
  <c r="B8" i="6"/>
  <c r="B7" i="6"/>
  <c r="B12" i="6" s="1"/>
</calcChain>
</file>

<file path=xl/sharedStrings.xml><?xml version="1.0" encoding="utf-8"?>
<sst xmlns="http://schemas.openxmlformats.org/spreadsheetml/2006/main" count="709" uniqueCount="306">
  <si>
    <t>GESTIÓN DE CASOS DE PRUEBA</t>
  </si>
  <si>
    <t>Proyecto</t>
  </si>
  <si>
    <t>Happy Jump — Gestión de reservas (Android + API Node + MySQL)</t>
  </si>
  <si>
    <t>Documento</t>
  </si>
  <si>
    <t>Excel de Gestión de Casos de Prueba — Ítem 7</t>
  </si>
  <si>
    <t>Identificador</t>
  </si>
  <si>
    <t>GCP-HAPPYJUMP-2026-001</t>
  </si>
  <si>
    <t>Versión</t>
  </si>
  <si>
    <t>1.0</t>
  </si>
  <si>
    <t>Fecha</t>
  </si>
  <si>
    <t>29/05/2026</t>
  </si>
  <si>
    <t>Autor / Tester</t>
  </si>
  <si>
    <t>Sprint / Ciclo</t>
  </si>
  <si>
    <t>Referencia ítem 6</t>
  </si>
  <si>
    <t>docs/informes-item6/INFORME_PRUEBAS_SISTEMA_HAPPY_JUMP.docx</t>
  </si>
  <si>
    <t>Plan maestro</t>
  </si>
  <si>
    <t>docs/PLAN_MAESTRO_PRUEBAS_SOFTWARE_HAPPY_JUMP.md</t>
  </si>
  <si>
    <t>Casos base</t>
  </si>
  <si>
    <t>docs/CASOS_DE_PRUEBA.csv (CP-001 … CP-022)</t>
  </si>
  <si>
    <t>ID</t>
  </si>
  <si>
    <t>Módulo</t>
  </si>
  <si>
    <t>Nombre del caso</t>
  </si>
  <si>
    <t>REQ vinculado</t>
  </si>
  <si>
    <t>Precondiciones</t>
  </si>
  <si>
    <t>Pasos</t>
  </si>
  <si>
    <t>Resultado esperado</t>
  </si>
  <si>
    <t>Prioridad</t>
  </si>
  <si>
    <t>Tipo</t>
  </si>
  <si>
    <t>Nivel de prueba</t>
  </si>
  <si>
    <t>Automatizable</t>
  </si>
  <si>
    <t>Herramienta</t>
  </si>
  <si>
    <t>Estado diseño</t>
  </si>
  <si>
    <t>Estado ejecución</t>
  </si>
  <si>
    <t>Ciclo / Sprint</t>
  </si>
  <si>
    <t>Fecha ejecución</t>
  </si>
  <si>
    <t>Ejecutor</t>
  </si>
  <si>
    <t>Versión app/API</t>
  </si>
  <si>
    <t>Resultado</t>
  </si>
  <si>
    <t>Observaciones</t>
  </si>
  <si>
    <t>Evidencia</t>
  </si>
  <si>
    <t>ID defecto</t>
  </si>
  <si>
    <t>CP-001</t>
  </si>
  <si>
    <t>Login</t>
  </si>
  <si>
    <t>Login trabajador valido</t>
  </si>
  <si>
    <t>REQ-001</t>
  </si>
  <si>
    <t>API y MySQL activos; usuario trabajador existe.</t>
  </si>
  <si>
    <t>1) Abrir app 2) Ingresar nombre y PIN 3) Entrar</t>
  </si>
  <si>
    <t>Acceso a pantalla principal sin error.</t>
  </si>
  <si>
    <t>P0</t>
  </si>
  <si>
    <t>Funcional</t>
  </si>
  <si>
    <t>Sistema</t>
  </si>
  <si>
    <t>Parcial</t>
  </si>
  <si>
    <t>Manual (app)</t>
  </si>
  <si>
    <t>Aprobado</t>
  </si>
  <si>
    <t>Pendiente</t>
  </si>
  <si>
    <t>Sprint 3</t>
  </si>
  <si>
    <t>(tu nombre)</t>
  </si>
  <si>
    <t>informes-item6/capturas/CP-001.png</t>
  </si>
  <si>
    <t>CP-002</t>
  </si>
  <si>
    <t>Login admin valido</t>
  </si>
  <si>
    <t>REQ-001, REQ-002</t>
  </si>
  <si>
    <t>Usuario administrador existe.</t>
  </si>
  <si>
    <t>1) Ingresar credenciales admin 2) Entrar</t>
  </si>
  <si>
    <t>Se muestran funciones de administrador.</t>
  </si>
  <si>
    <t>CP-003</t>
  </si>
  <si>
    <t>Credenciales incorrectas</t>
  </si>
  <si>
    <t>API activa.</t>
  </si>
  <si>
    <t>1) Nombre o PIN incorrectos 2) Entrar</t>
  </si>
  <si>
    <t>Mensaje de error claro; no ingresa.</t>
  </si>
  <si>
    <t>CP-004</t>
  </si>
  <si>
    <t>PIN vacio o incompleto</t>
  </si>
  <si>
    <t>App en login.</t>
  </si>
  <si>
    <t>1) Dejar PIN incompleto 2) Entrar</t>
  </si>
  <si>
    <t>Validacion en UI o error controlado.</t>
  </si>
  <si>
    <t>P1</t>
  </si>
  <si>
    <t>CP-005</t>
  </si>
  <si>
    <t>Auth</t>
  </si>
  <si>
    <t>Sesion duplicada (si aplica)</t>
  </si>
  <si>
    <t>REQ-004</t>
  </si>
  <si>
    <t>Mismo usuario ya logueo en otro dispositivo.</t>
  </si>
  <si>
    <t>1) Login en segundo dispositivo</t>
  </si>
  <si>
    <t>Mensaje de conflicto segun API.</t>
  </si>
  <si>
    <t>Integracion</t>
  </si>
  <si>
    <t>Integración</t>
  </si>
  <si>
    <t>No</t>
  </si>
  <si>
    <t>CP-006</t>
  </si>
  <si>
    <t>Config</t>
  </si>
  <si>
    <t>Health API</t>
  </si>
  <si>
    <t>REQ-006</t>
  </si>
  <si>
    <t>PC y celular misma red o adb reverse.</t>
  </si>
  <si>
    <t>1) Navegador http://IP:3000/health</t>
  </si>
  <si>
    <t>JSON ok true.</t>
  </si>
  <si>
    <t>Navegador/Postman</t>
  </si>
  <si>
    <t>informes-item6/capturas/CP-006.png</t>
  </si>
  <si>
    <t>CP-007</t>
  </si>
  <si>
    <t>Cancha</t>
  </si>
  <si>
    <t>Listar reservas dia</t>
  </si>
  <si>
    <t>REQ-007</t>
  </si>
  <si>
    <t>Usuario logueado; datos de prueba.</t>
  </si>
  <si>
    <t>1) Ir a Cancha 2) Seleccionar fecha</t>
  </si>
  <si>
    <t>Lista coherente con API.</t>
  </si>
  <si>
    <t>informes-item6/capturas/CP-007.png</t>
  </si>
  <si>
    <t>CP-008</t>
  </si>
  <si>
    <t>Crear reserva valida</t>
  </si>
  <si>
    <t>REQ-007, REQ-008</t>
  </si>
  <si>
    <t>Cancha disponible en franja.</t>
  </si>
  <si>
    <t>1) Nuevo 2) Completar datos 3) Guardar</t>
  </si>
  <si>
    <t>Reserva creada y visible.</t>
  </si>
  <si>
    <t>informes-item6/capturas/CP-008.png</t>
  </si>
  <si>
    <t>CP-009</t>
  </si>
  <si>
    <t>Fecha u hora pasada</t>
  </si>
  <si>
    <t>REQ-012</t>
  </si>
  <si>
    <t>Regla servidor activa.</t>
  </si>
  <si>
    <t>1) Intentar reserva en pasado</t>
  </si>
  <si>
    <t>Error o bloqueo segun implementacion.</t>
  </si>
  <si>
    <t>CP-010</t>
  </si>
  <si>
    <t>Salones</t>
  </si>
  <si>
    <t>Listar reservas</t>
  </si>
  <si>
    <t>REQ-009</t>
  </si>
  <si>
    <t>Salones con datos.</t>
  </si>
  <si>
    <t>1) Abrir Salones 2) Revisar lista</t>
  </si>
  <si>
    <t>Datos acordes a API.</t>
  </si>
  <si>
    <t>CP-011</t>
  </si>
  <si>
    <t>Horario libre.</t>
  </si>
  <si>
    <t>1) Nuevo 2) Datos completos 3) Guardar</t>
  </si>
  <si>
    <t>Reserva creada.</t>
  </si>
  <si>
    <t>CP-012</t>
  </si>
  <si>
    <t>Reportes</t>
  </si>
  <si>
    <t>Generar reporte periodo</t>
  </si>
  <si>
    <t>REQ-010</t>
  </si>
  <si>
    <t>Hay datos.</t>
  </si>
  <si>
    <t>1) Elegir periodo 2) Consultar</t>
  </si>
  <si>
    <t>Valores mostrados sin crash.</t>
  </si>
  <si>
    <t>CP-013</t>
  </si>
  <si>
    <t>Perfil</t>
  </si>
  <si>
    <t>Cambiar PIN</t>
  </si>
  <si>
    <t>REQ-011</t>
  </si>
  <si>
    <t>Usuario logueado.</t>
  </si>
  <si>
    <t>1) Perfil 2) Cambiar PIN 3) Confirmar</t>
  </si>
  <si>
    <t>Nuevo PIN aceptado o mensaje error.</t>
  </si>
  <si>
    <t>CP-014</t>
  </si>
  <si>
    <t>Regresion</t>
  </si>
  <si>
    <t>Smoke post-cambio</t>
  </si>
  <si>
    <t>REQ-001 a REQ-009</t>
  </si>
  <si>
    <t>Codigo actualizado.</t>
  </si>
  <si>
    <t>1) Login 2) Cancha 3) Salones</t>
  </si>
  <si>
    <t>Flujos basicos OK.</t>
  </si>
  <si>
    <t>Regresión</t>
  </si>
  <si>
    <t>CP-015</t>
  </si>
  <si>
    <t>Calendario colores por dia</t>
  </si>
  <si>
    <t>Usuario logueado; API con reservas en el mes.</t>
  </si>
  <si>
    <t>1) Ir a Cancha 2) Tocar icono calendario 3) Revisar leyenda y celdas</t>
  </si>
  <si>
    <t>Se muestran verde libre amarillo parcial rojo lleno gris pasado; sin mensaje de error de parseo de fecha.</t>
  </si>
  <si>
    <t>informes-item6/capturas/CP-015.png</t>
  </si>
  <si>
    <t>CP-016</t>
  </si>
  <si>
    <t>Calendario cambiar mes con flechas</t>
  </si>
  <si>
    <t>Dialogo de calendario abierto.</t>
  </si>
  <si>
    <t>1) Pulsar flecha mes anterior 2) Pulsar flecha mes siguiente</t>
  </si>
  <si>
    <t>Cambia el titulo del mes y se recargan colores por dia sin fallo.</t>
  </si>
  <si>
    <t>CP-017</t>
  </si>
  <si>
    <t>Barra semana flechas anterior/siguiente</t>
  </si>
  <si>
    <t>En pantalla Cancha.</t>
  </si>
  <si>
    <t>1) Pulsar flecha semana atras en la barra verde 2) Pulsar flecha semana adelante</t>
  </si>
  <si>
    <t>La fila de siete dias y la fecha activa avanzan o retroceden una semana correctamente.</t>
  </si>
  <si>
    <t>CP-018</t>
  </si>
  <si>
    <t>Turno largo una sola fila en lista</t>
  </si>
  <si>
    <t>Reserva hecha con Otra hora en varias franjas contiguas mismo cliente.</t>
  </si>
  <si>
    <t>1) Abrir el dia de la reserva 2) Revisar lista de horarios</t>
  </si>
  <si>
    <t>Aparece una sola tarjeta con hora inicio-fin total y texto de un solo turno; no varias tarjetas duplicadas por cada media hora.</t>
  </si>
  <si>
    <t>CP-019</t>
  </si>
  <si>
    <t>Detalle turno largo totales y cancelar grupo</t>
  </si>
  <si>
    <t>REQ-007, REQ-008, REQ-011</t>
  </si>
  <si>
    <t>Existe turno largo en el dia.</t>
  </si>
  <si>
    <t>1) Abrir detalle del turno 2) Revisar totales 3) Cancelar con motivo valido</t>
  </si>
  <si>
    <t>Muestra montos acumulados; cancelacion aplica a todas las franjas del grupo segun implementacion.</t>
  </si>
  <si>
    <t>CP-020</t>
  </si>
  <si>
    <t>Otra hora inicio poco despues de ahora</t>
  </si>
  <si>
    <t>REQ-007, REQ-012</t>
  </si>
  <si>
    <t>Hoy; servidor en hora local correcta.</t>
  </si>
  <si>
    <t>1) Otra hora 2) Inicio unos minutos despues de la hora actual 3) Fin coherente 4) Guardar</t>
  </si>
  <si>
    <t>Reserva guardada sin rechazar por tramos intermedios del mismo turno.</t>
  </si>
  <si>
    <t>CP-021</t>
  </si>
  <si>
    <t>Duracion y hora fin con media hora final</t>
  </si>
  <si>
    <t>API GET reservas incluye duracion_minutos.</t>
  </si>
  <si>
    <t>1) Crear rango ej. 17:00 a 18:30 2) Ver lista o detalle</t>
  </si>
  <si>
    <t>Se muestra duracion 1 h 30 min y fin 18:30; no 2 h ni fin 19:00 por error de duracion.</t>
  </si>
  <si>
    <t>CP-022</t>
  </si>
  <si>
    <t>Volver a fecha de hoy</t>
  </si>
  <si>
    <t>Otro dia seleccionado en Cancha.</t>
  </si>
  <si>
    <t>1) Pulsar boton Ir a hoy</t>
  </si>
  <si>
    <t>La fecha seleccionada es hoy y la lista de horarios corresponde a hoy.</t>
  </si>
  <si>
    <t>P2</t>
  </si>
  <si>
    <t>AUTO-API</t>
  </si>
  <si>
    <t>Server</t>
  </si>
  <si>
    <t>npm run test:ci (calcularEstadoCancha)</t>
  </si>
  <si>
    <t>Node en server/</t>
  </si>
  <si>
    <t>npm run test:ci</t>
  </si>
  <si>
    <t>4/4 tests OK</t>
  </si>
  <si>
    <t>Automatizado</t>
  </si>
  <si>
    <t>Unitarias</t>
  </si>
  <si>
    <t>Sí</t>
  </si>
  <si>
    <t>Jest/npm</t>
  </si>
  <si>
    <t>Pasó</t>
  </si>
  <si>
    <t>2026-05-30</t>
  </si>
  <si>
    <t>(nombre)</t>
  </si>
  <si>
    <t>server/</t>
  </si>
  <si>
    <t>4/4 tests calcularEstadoCancha</t>
  </si>
  <si>
    <t>informes-item6/capturas/npm-test-ci.png</t>
  </si>
  <si>
    <t>AUTO-POSTMAN</t>
  </si>
  <si>
    <t>API</t>
  </si>
  <si>
    <t>Colección Postman Happy Jump</t>
  </si>
  <si>
    <t>REQ-001 a REQ-012</t>
  </si>
  <si>
    <t>API :3000</t>
  </si>
  <si>
    <t>Ejecutar colección</t>
  </si>
  <si>
    <t>Requests 2xx</t>
  </si>
  <si>
    <t>Postman</t>
  </si>
  <si>
    <t>docs/postman/</t>
  </si>
  <si>
    <t>AUTO-ACTIONS</t>
  </si>
  <si>
    <t>CI</t>
  </si>
  <si>
    <t>GitHub Actions API Tests</t>
  </si>
  <si>
    <t>Push a main/develop</t>
  </si>
  <si>
    <t>Ver workflow verde</t>
  </si>
  <si>
    <t>Job success</t>
  </si>
  <si>
    <t>GitHub Actions</t>
  </si>
  <si>
    <t>GitHub</t>
  </si>
  <si>
    <t>informes-item6/capturas/github-actions.png</t>
  </si>
  <si>
    <t>AUTO-GRADLE</t>
  </si>
  <si>
    <t>Android</t>
  </si>
  <si>
    <t>gradlew testDebugUnitTest</t>
  </si>
  <si>
    <t>Proyecto Android</t>
  </si>
  <si>
    <t>./gradlew :app:testDebugUnitTest</t>
  </si>
  <si>
    <t>Tests JVM OK</t>
  </si>
  <si>
    <t>Gradle/JUnit</t>
  </si>
  <si>
    <t>REQ ID</t>
  </si>
  <si>
    <t>Requerimiento (resumen)</t>
  </si>
  <si>
    <t>Casos de prueba</t>
  </si>
  <si>
    <t>Cobertura</t>
  </si>
  <si>
    <t>Autenticación nombre y PIN</t>
  </si>
  <si>
    <t>CP-001, CP-002, CP-003, CP-004</t>
  </si>
  <si>
    <t>Alta</t>
  </si>
  <si>
    <t>Cubierto</t>
  </si>
  <si>
    <t>REQ-002</t>
  </si>
  <si>
    <t>Rol administrador</t>
  </si>
  <si>
    <t>REQ-003</t>
  </si>
  <si>
    <t>Rol trabajador</t>
  </si>
  <si>
    <t>Sesión única</t>
  </si>
  <si>
    <t>Media</t>
  </si>
  <si>
    <t>REQ-005</t>
  </si>
  <si>
    <t>Cierre de sesión</t>
  </si>
  <si>
    <t>CP-014 (smoke)</t>
  </si>
  <si>
    <t>API configurable / health</t>
  </si>
  <si>
    <t>Reservas cancha</t>
  </si>
  <si>
    <t>CP-007 a CP-022</t>
  </si>
  <si>
    <t>REQ-008</t>
  </si>
  <si>
    <t>Estados cancha</t>
  </si>
  <si>
    <t>CP-008, CP-015, CP-018, CP-021</t>
  </si>
  <si>
    <t>Reservas salones</t>
  </si>
  <si>
    <t>CP-010, CP-011</t>
  </si>
  <si>
    <t>Perfil y PIN</t>
  </si>
  <si>
    <t>Validaciones backend</t>
  </si>
  <si>
    <t>CP-009, AUTO-API, AUTO-POSTMAN</t>
  </si>
  <si>
    <t>REQ-013</t>
  </si>
  <si>
    <t>Base de datos</t>
  </si>
  <si>
    <t>— (migraciones manuales)</t>
  </si>
  <si>
    <t>Fuera de CP</t>
  </si>
  <si>
    <t>Ciclo</t>
  </si>
  <si>
    <t>ID caso</t>
  </si>
  <si>
    <t>Entorno</t>
  </si>
  <si>
    <t>Tiempo (min)</t>
  </si>
  <si>
    <t>Comentarios</t>
  </si>
  <si>
    <t>Ciclo 1</t>
  </si>
  <si>
    <t>server/ npm test:ci</t>
  </si>
  <si>
    <t>2</t>
  </si>
  <si>
    <t>npm-test-ci.png</t>
  </si>
  <si>
    <t>Emulador o físico + API :3000</t>
  </si>
  <si>
    <t>Título</t>
  </si>
  <si>
    <t>Caso relacionado</t>
  </si>
  <si>
    <t>Severidad</t>
  </si>
  <si>
    <t>Estado</t>
  </si>
  <si>
    <t>Pasos reproducción</t>
  </si>
  <si>
    <t>Esperado</t>
  </si>
  <si>
    <t>Obtenido</t>
  </si>
  <si>
    <t>Asignado</t>
  </si>
  <si>
    <t>Fecha reporte</t>
  </si>
  <si>
    <t>Fecha cierre</t>
  </si>
  <si>
    <t>DEF-001</t>
  </si>
  <si>
    <t>(ejemplo) Mensaje error poco claro</t>
  </si>
  <si>
    <t>Cerrado</t>
  </si>
  <si>
    <t>Login con PIN incorrecto</t>
  </si>
  <si>
    <t>Mensaje claro</t>
  </si>
  <si>
    <t>—</t>
  </si>
  <si>
    <t>Android 14 emulador</t>
  </si>
  <si>
    <t>Métricas de gestión de pruebas</t>
  </si>
  <si>
    <t>Total casos funcionales (CP)</t>
  </si>
  <si>
    <t>Casos automatizados registrados</t>
  </si>
  <si>
    <t>Métrica</t>
  </si>
  <si>
    <t>Fórmula / valor</t>
  </si>
  <si>
    <t>Ejecutados</t>
  </si>
  <si>
    <t>Pasaron</t>
  </si>
  <si>
    <t>Fallaron</t>
  </si>
  <si>
    <t>Pendientes</t>
  </si>
  <si>
    <t>Bloqueados</t>
  </si>
  <si>
    <t>% Avance ejecución</t>
  </si>
  <si>
    <t>Defectos abiertos</t>
  </si>
  <si>
    <t>(Randy Emmanuel Concha Valle)</t>
  </si>
  <si>
    <t>Sprint 3 — ciclo7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</si>
</sst>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B9" sqref="B9"/>
    </sheetView>
  </sheetViews>
  <sheetFormatPr baseColWidth="10" defaultColWidth="8.88671875" defaultRowHeight="14.4" x14ac:dyDescent="0.3"/>
  <cols>
    <col min="1" max="1" width="22" customWidth="1"/>
    <col min="2" max="2" width="70" customWidth="1"/>
  </cols>
  <sheetData>
    <row r="1" spans="1:2" ht="21" x14ac:dyDescent="0.4">
      <c r="A1" s="1" t="s">
        <v>0</v>
      </c>
    </row>
    <row r="3" spans="1:2" x14ac:dyDescent="0.3">
      <c r="A3" s="2" t="s">
        <v>1</v>
      </c>
      <c r="B3" t="s">
        <v>2</v>
      </c>
    </row>
    <row r="4" spans="1:2" x14ac:dyDescent="0.3">
      <c r="A4" s="2" t="s">
        <v>3</v>
      </c>
      <c r="B4" t="s">
        <v>4</v>
      </c>
    </row>
    <row r="5" spans="1:2" x14ac:dyDescent="0.3">
      <c r="A5" s="2" t="s">
        <v>5</v>
      </c>
      <c r="B5" t="s">
        <v>6</v>
      </c>
    </row>
    <row r="6" spans="1:2" x14ac:dyDescent="0.3">
      <c r="A6" s="2" t="s">
        <v>7</v>
      </c>
      <c r="B6" t="s">
        <v>8</v>
      </c>
    </row>
    <row r="7" spans="1:2" x14ac:dyDescent="0.3">
      <c r="A7" s="2" t="s">
        <v>9</v>
      </c>
      <c r="B7" t="s">
        <v>10</v>
      </c>
    </row>
    <row r="8" spans="1:2" x14ac:dyDescent="0.3">
      <c r="A8" s="2" t="s">
        <v>11</v>
      </c>
      <c r="B8" t="s">
        <v>304</v>
      </c>
    </row>
    <row r="9" spans="1:2" x14ac:dyDescent="0.3">
      <c r="A9" s="2" t="s">
        <v>12</v>
      </c>
      <c r="B9" t="s">
        <v>305</v>
      </c>
    </row>
    <row r="10" spans="1:2" x14ac:dyDescent="0.3">
      <c r="A10" s="2" t="s">
        <v>13</v>
      </c>
      <c r="B10" t="s">
        <v>14</v>
      </c>
    </row>
    <row r="11" spans="1:2" x14ac:dyDescent="0.3">
      <c r="A11" s="2" t="s">
        <v>15</v>
      </c>
      <c r="B11" t="s">
        <v>16</v>
      </c>
    </row>
    <row r="12" spans="1:2" x14ac:dyDescent="0.3">
      <c r="A12" s="2" t="s">
        <v>17</v>
      </c>
      <c r="B12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7"/>
  <sheetViews>
    <sheetView workbookViewId="0"/>
  </sheetViews>
  <sheetFormatPr baseColWidth="10" defaultColWidth="8.88671875" defaultRowHeight="14.4" x14ac:dyDescent="0.3"/>
  <cols>
    <col min="1" max="1" width="14" customWidth="1"/>
    <col min="2" max="2" width="11" customWidth="1"/>
    <col min="3" max="3" width="45" customWidth="1"/>
    <col min="4" max="4" width="27" customWidth="1"/>
    <col min="5" max="7" width="45" customWidth="1"/>
    <col min="8" max="8" width="11" customWidth="1"/>
    <col min="9" max="9" width="14" customWidth="1"/>
    <col min="10" max="10" width="17" customWidth="1"/>
    <col min="11" max="11" width="16" customWidth="1"/>
    <col min="12" max="12" width="19" customWidth="1"/>
    <col min="13" max="13" width="15" customWidth="1"/>
    <col min="14" max="14" width="18" customWidth="1"/>
    <col min="15" max="15" width="16" customWidth="1"/>
    <col min="16" max="16" width="17" customWidth="1"/>
    <col min="17" max="17" width="13" customWidth="1"/>
    <col min="18" max="18" width="17" customWidth="1"/>
    <col min="19" max="19" width="11" customWidth="1"/>
    <col min="20" max="20" width="44" customWidth="1"/>
    <col min="21" max="21" width="41" customWidth="1"/>
    <col min="22" max="22" width="12" customWidth="1"/>
  </cols>
  <sheetData>
    <row r="1" spans="1:22" x14ac:dyDescent="0.3">
      <c r="A1" s="3" t="s">
        <v>19</v>
      </c>
      <c r="B1" s="3" t="s">
        <v>20</v>
      </c>
      <c r="C1" s="3" t="s">
        <v>21</v>
      </c>
      <c r="D1" s="3" t="s">
        <v>22</v>
      </c>
      <c r="E1" s="3" t="s">
        <v>23</v>
      </c>
      <c r="F1" s="3" t="s">
        <v>24</v>
      </c>
      <c r="G1" s="3" t="s">
        <v>25</v>
      </c>
      <c r="H1" s="3" t="s">
        <v>26</v>
      </c>
      <c r="I1" s="3" t="s">
        <v>27</v>
      </c>
      <c r="J1" s="3" t="s">
        <v>28</v>
      </c>
      <c r="K1" s="3" t="s">
        <v>29</v>
      </c>
      <c r="L1" s="3" t="s">
        <v>30</v>
      </c>
      <c r="M1" s="3" t="s">
        <v>31</v>
      </c>
      <c r="N1" s="3" t="s">
        <v>32</v>
      </c>
      <c r="O1" s="3" t="s">
        <v>33</v>
      </c>
      <c r="P1" s="3" t="s">
        <v>34</v>
      </c>
      <c r="Q1" s="3" t="s">
        <v>35</v>
      </c>
      <c r="R1" s="3" t="s">
        <v>36</v>
      </c>
      <c r="S1" s="3" t="s">
        <v>37</v>
      </c>
      <c r="T1" s="3" t="s">
        <v>38</v>
      </c>
      <c r="U1" s="3" t="s">
        <v>39</v>
      </c>
      <c r="V1" s="3" t="s">
        <v>40</v>
      </c>
    </row>
    <row r="2" spans="1:22" x14ac:dyDescent="0.3">
      <c r="A2" t="s">
        <v>41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 t="s">
        <v>48</v>
      </c>
      <c r="I2" t="s">
        <v>49</v>
      </c>
      <c r="J2" t="s">
        <v>50</v>
      </c>
      <c r="K2" t="s">
        <v>51</v>
      </c>
      <c r="L2" t="s">
        <v>52</v>
      </c>
      <c r="M2" t="s">
        <v>53</v>
      </c>
      <c r="N2" t="s">
        <v>54</v>
      </c>
      <c r="O2" t="s">
        <v>55</v>
      </c>
      <c r="Q2" t="s">
        <v>56</v>
      </c>
      <c r="S2" t="s">
        <v>54</v>
      </c>
      <c r="U2" t="s">
        <v>57</v>
      </c>
    </row>
    <row r="3" spans="1:22" x14ac:dyDescent="0.3">
      <c r="A3" t="s">
        <v>58</v>
      </c>
      <c r="B3" t="s">
        <v>42</v>
      </c>
      <c r="C3" t="s">
        <v>59</v>
      </c>
      <c r="D3" t="s">
        <v>60</v>
      </c>
      <c r="E3" t="s">
        <v>61</v>
      </c>
      <c r="F3" t="s">
        <v>62</v>
      </c>
      <c r="G3" t="s">
        <v>63</v>
      </c>
      <c r="H3" t="s">
        <v>48</v>
      </c>
      <c r="I3" t="s">
        <v>49</v>
      </c>
      <c r="J3" t="s">
        <v>50</v>
      </c>
      <c r="K3" t="s">
        <v>51</v>
      </c>
      <c r="L3" t="s">
        <v>52</v>
      </c>
      <c r="M3" t="s">
        <v>53</v>
      </c>
      <c r="N3" t="s">
        <v>54</v>
      </c>
      <c r="O3" t="s">
        <v>55</v>
      </c>
      <c r="Q3" t="s">
        <v>56</v>
      </c>
      <c r="S3" t="s">
        <v>54</v>
      </c>
    </row>
    <row r="4" spans="1:22" x14ac:dyDescent="0.3">
      <c r="A4" t="s">
        <v>64</v>
      </c>
      <c r="B4" t="s">
        <v>42</v>
      </c>
      <c r="C4" t="s">
        <v>65</v>
      </c>
      <c r="D4" t="s">
        <v>44</v>
      </c>
      <c r="E4" t="s">
        <v>66</v>
      </c>
      <c r="F4" t="s">
        <v>67</v>
      </c>
      <c r="G4" t="s">
        <v>68</v>
      </c>
      <c r="H4" t="s">
        <v>48</v>
      </c>
      <c r="I4" t="s">
        <v>49</v>
      </c>
      <c r="J4" t="s">
        <v>50</v>
      </c>
      <c r="K4" t="s">
        <v>51</v>
      </c>
      <c r="L4" t="s">
        <v>52</v>
      </c>
      <c r="M4" t="s">
        <v>53</v>
      </c>
      <c r="N4" t="s">
        <v>54</v>
      </c>
      <c r="O4" t="s">
        <v>55</v>
      </c>
      <c r="Q4" t="s">
        <v>56</v>
      </c>
      <c r="S4" t="s">
        <v>54</v>
      </c>
    </row>
    <row r="5" spans="1:22" x14ac:dyDescent="0.3">
      <c r="A5" t="s">
        <v>69</v>
      </c>
      <c r="B5" t="s">
        <v>42</v>
      </c>
      <c r="C5" t="s">
        <v>70</v>
      </c>
      <c r="D5" t="s">
        <v>44</v>
      </c>
      <c r="E5" t="s">
        <v>71</v>
      </c>
      <c r="F5" t="s">
        <v>72</v>
      </c>
      <c r="G5" t="s">
        <v>73</v>
      </c>
      <c r="H5" t="s">
        <v>74</v>
      </c>
      <c r="I5" t="s">
        <v>49</v>
      </c>
      <c r="J5" t="s">
        <v>50</v>
      </c>
      <c r="K5" t="s">
        <v>51</v>
      </c>
      <c r="L5" t="s">
        <v>52</v>
      </c>
      <c r="M5" t="s">
        <v>53</v>
      </c>
      <c r="N5" t="s">
        <v>54</v>
      </c>
      <c r="O5" t="s">
        <v>55</v>
      </c>
      <c r="Q5" t="s">
        <v>56</v>
      </c>
      <c r="S5" t="s">
        <v>54</v>
      </c>
    </row>
    <row r="6" spans="1:22" x14ac:dyDescent="0.3">
      <c r="A6" t="s">
        <v>75</v>
      </c>
      <c r="B6" t="s">
        <v>76</v>
      </c>
      <c r="C6" t="s">
        <v>77</v>
      </c>
      <c r="D6" t="s">
        <v>78</v>
      </c>
      <c r="E6" t="s">
        <v>79</v>
      </c>
      <c r="F6" t="s">
        <v>80</v>
      </c>
      <c r="G6" t="s">
        <v>81</v>
      </c>
      <c r="H6" t="s">
        <v>74</v>
      </c>
      <c r="I6" t="s">
        <v>82</v>
      </c>
      <c r="J6" t="s">
        <v>83</v>
      </c>
      <c r="K6" t="s">
        <v>84</v>
      </c>
      <c r="L6" t="s">
        <v>52</v>
      </c>
      <c r="M6" t="s">
        <v>53</v>
      </c>
      <c r="N6" t="s">
        <v>54</v>
      </c>
      <c r="O6" t="s">
        <v>55</v>
      </c>
      <c r="Q6" t="s">
        <v>56</v>
      </c>
      <c r="S6" t="s">
        <v>54</v>
      </c>
    </row>
    <row r="7" spans="1:22" x14ac:dyDescent="0.3">
      <c r="A7" t="s">
        <v>85</v>
      </c>
      <c r="B7" t="s">
        <v>86</v>
      </c>
      <c r="C7" t="s">
        <v>87</v>
      </c>
      <c r="D7" t="s">
        <v>88</v>
      </c>
      <c r="E7" t="s">
        <v>89</v>
      </c>
      <c r="F7" t="s">
        <v>90</v>
      </c>
      <c r="G7" t="s">
        <v>91</v>
      </c>
      <c r="H7" t="s">
        <v>48</v>
      </c>
      <c r="I7" t="s">
        <v>82</v>
      </c>
      <c r="J7" t="s">
        <v>83</v>
      </c>
      <c r="K7" t="s">
        <v>84</v>
      </c>
      <c r="L7" t="s">
        <v>92</v>
      </c>
      <c r="M7" t="s">
        <v>53</v>
      </c>
      <c r="N7" t="s">
        <v>54</v>
      </c>
      <c r="O7" t="s">
        <v>55</v>
      </c>
      <c r="Q7" t="s">
        <v>56</v>
      </c>
      <c r="S7" t="s">
        <v>54</v>
      </c>
      <c r="U7" t="s">
        <v>93</v>
      </c>
    </row>
    <row r="8" spans="1:22" x14ac:dyDescent="0.3">
      <c r="A8" t="s">
        <v>94</v>
      </c>
      <c r="B8" t="s">
        <v>95</v>
      </c>
      <c r="C8" t="s">
        <v>96</v>
      </c>
      <c r="D8" t="s">
        <v>97</v>
      </c>
      <c r="E8" t="s">
        <v>98</v>
      </c>
      <c r="F8" t="s">
        <v>99</v>
      </c>
      <c r="G8" t="s">
        <v>100</v>
      </c>
      <c r="H8" t="s">
        <v>48</v>
      </c>
      <c r="I8" t="s">
        <v>49</v>
      </c>
      <c r="J8" t="s">
        <v>50</v>
      </c>
      <c r="K8" t="s">
        <v>51</v>
      </c>
      <c r="L8" t="s">
        <v>52</v>
      </c>
      <c r="M8" t="s">
        <v>53</v>
      </c>
      <c r="N8" t="s">
        <v>54</v>
      </c>
      <c r="O8" t="s">
        <v>55</v>
      </c>
      <c r="Q8" t="s">
        <v>56</v>
      </c>
      <c r="S8" t="s">
        <v>54</v>
      </c>
      <c r="U8" t="s">
        <v>101</v>
      </c>
    </row>
    <row r="9" spans="1:22" x14ac:dyDescent="0.3">
      <c r="A9" t="s">
        <v>102</v>
      </c>
      <c r="B9" t="s">
        <v>95</v>
      </c>
      <c r="C9" t="s">
        <v>103</v>
      </c>
      <c r="D9" t="s">
        <v>104</v>
      </c>
      <c r="E9" t="s">
        <v>105</v>
      </c>
      <c r="F9" t="s">
        <v>106</v>
      </c>
      <c r="G9" t="s">
        <v>107</v>
      </c>
      <c r="H9" t="s">
        <v>48</v>
      </c>
      <c r="I9" t="s">
        <v>49</v>
      </c>
      <c r="J9" t="s">
        <v>50</v>
      </c>
      <c r="K9" t="s">
        <v>51</v>
      </c>
      <c r="L9" t="s">
        <v>52</v>
      </c>
      <c r="M9" t="s">
        <v>53</v>
      </c>
      <c r="N9" t="s">
        <v>54</v>
      </c>
      <c r="O9" t="s">
        <v>55</v>
      </c>
      <c r="Q9" t="s">
        <v>56</v>
      </c>
      <c r="S9" t="s">
        <v>54</v>
      </c>
      <c r="U9" t="s">
        <v>108</v>
      </c>
    </row>
    <row r="10" spans="1:22" x14ac:dyDescent="0.3">
      <c r="A10" t="s">
        <v>109</v>
      </c>
      <c r="B10" t="s">
        <v>95</v>
      </c>
      <c r="C10" t="s">
        <v>110</v>
      </c>
      <c r="D10" t="s">
        <v>111</v>
      </c>
      <c r="E10" t="s">
        <v>112</v>
      </c>
      <c r="F10" t="s">
        <v>113</v>
      </c>
      <c r="G10" t="s">
        <v>114</v>
      </c>
      <c r="H10" t="s">
        <v>74</v>
      </c>
      <c r="I10" t="s">
        <v>49</v>
      </c>
      <c r="J10" t="s">
        <v>50</v>
      </c>
      <c r="K10" t="s">
        <v>51</v>
      </c>
      <c r="L10" t="s">
        <v>52</v>
      </c>
      <c r="M10" t="s">
        <v>53</v>
      </c>
      <c r="N10" t="s">
        <v>54</v>
      </c>
      <c r="O10" t="s">
        <v>55</v>
      </c>
      <c r="Q10" t="s">
        <v>56</v>
      </c>
      <c r="S10" t="s">
        <v>54</v>
      </c>
    </row>
    <row r="11" spans="1:22" x14ac:dyDescent="0.3">
      <c r="A11" t="s">
        <v>115</v>
      </c>
      <c r="B11" t="s">
        <v>116</v>
      </c>
      <c r="C11" t="s">
        <v>117</v>
      </c>
      <c r="D11" t="s">
        <v>118</v>
      </c>
      <c r="E11" t="s">
        <v>119</v>
      </c>
      <c r="F11" t="s">
        <v>120</v>
      </c>
      <c r="G11" t="s">
        <v>121</v>
      </c>
      <c r="H11" t="s">
        <v>48</v>
      </c>
      <c r="I11" t="s">
        <v>49</v>
      </c>
      <c r="J11" t="s">
        <v>50</v>
      </c>
      <c r="K11" t="s">
        <v>51</v>
      </c>
      <c r="L11" t="s">
        <v>52</v>
      </c>
      <c r="M11" t="s">
        <v>53</v>
      </c>
      <c r="N11" t="s">
        <v>54</v>
      </c>
      <c r="O11" t="s">
        <v>55</v>
      </c>
      <c r="Q11" t="s">
        <v>56</v>
      </c>
      <c r="S11" t="s">
        <v>54</v>
      </c>
    </row>
    <row r="12" spans="1:22" x14ac:dyDescent="0.3">
      <c r="A12" t="s">
        <v>122</v>
      </c>
      <c r="B12" t="s">
        <v>116</v>
      </c>
      <c r="C12" t="s">
        <v>103</v>
      </c>
      <c r="D12" t="s">
        <v>118</v>
      </c>
      <c r="E12" t="s">
        <v>123</v>
      </c>
      <c r="F12" t="s">
        <v>124</v>
      </c>
      <c r="G12" t="s">
        <v>125</v>
      </c>
      <c r="H12" t="s">
        <v>48</v>
      </c>
      <c r="I12" t="s">
        <v>49</v>
      </c>
      <c r="J12" t="s">
        <v>50</v>
      </c>
      <c r="K12" t="s">
        <v>51</v>
      </c>
      <c r="L12" t="s">
        <v>52</v>
      </c>
      <c r="M12" t="s">
        <v>53</v>
      </c>
      <c r="N12" t="s">
        <v>54</v>
      </c>
      <c r="O12" t="s">
        <v>55</v>
      </c>
      <c r="Q12" t="s">
        <v>56</v>
      </c>
      <c r="S12" t="s">
        <v>54</v>
      </c>
    </row>
    <row r="13" spans="1:22" x14ac:dyDescent="0.3">
      <c r="A13" t="s">
        <v>126</v>
      </c>
      <c r="B13" t="s">
        <v>127</v>
      </c>
      <c r="C13" t="s">
        <v>128</v>
      </c>
      <c r="D13" t="s">
        <v>129</v>
      </c>
      <c r="E13" t="s">
        <v>130</v>
      </c>
      <c r="F13" t="s">
        <v>131</v>
      </c>
      <c r="G13" t="s">
        <v>132</v>
      </c>
      <c r="H13" t="s">
        <v>74</v>
      </c>
      <c r="I13" t="s">
        <v>49</v>
      </c>
      <c r="J13" t="s">
        <v>50</v>
      </c>
      <c r="K13" t="s">
        <v>84</v>
      </c>
      <c r="L13" t="s">
        <v>52</v>
      </c>
      <c r="M13" t="s">
        <v>53</v>
      </c>
      <c r="N13" t="s">
        <v>54</v>
      </c>
      <c r="O13" t="s">
        <v>55</v>
      </c>
      <c r="Q13" t="s">
        <v>56</v>
      </c>
      <c r="S13" t="s">
        <v>54</v>
      </c>
    </row>
    <row r="14" spans="1:22" x14ac:dyDescent="0.3">
      <c r="A14" t="s">
        <v>133</v>
      </c>
      <c r="B14" t="s">
        <v>134</v>
      </c>
      <c r="C14" t="s">
        <v>135</v>
      </c>
      <c r="D14" t="s">
        <v>136</v>
      </c>
      <c r="E14" t="s">
        <v>137</v>
      </c>
      <c r="F14" t="s">
        <v>138</v>
      </c>
      <c r="G14" t="s">
        <v>139</v>
      </c>
      <c r="H14" t="s">
        <v>74</v>
      </c>
      <c r="I14" t="s">
        <v>49</v>
      </c>
      <c r="J14" t="s">
        <v>50</v>
      </c>
      <c r="K14" t="s">
        <v>84</v>
      </c>
      <c r="L14" t="s">
        <v>52</v>
      </c>
      <c r="M14" t="s">
        <v>53</v>
      </c>
      <c r="N14" t="s">
        <v>54</v>
      </c>
      <c r="O14" t="s">
        <v>55</v>
      </c>
      <c r="Q14" t="s">
        <v>56</v>
      </c>
      <c r="S14" t="s">
        <v>54</v>
      </c>
    </row>
    <row r="15" spans="1:22" x14ac:dyDescent="0.3">
      <c r="A15" t="s">
        <v>140</v>
      </c>
      <c r="B15" t="s">
        <v>141</v>
      </c>
      <c r="C15" t="s">
        <v>142</v>
      </c>
      <c r="D15" t="s">
        <v>143</v>
      </c>
      <c r="E15" t="s">
        <v>144</v>
      </c>
      <c r="F15" t="s">
        <v>145</v>
      </c>
      <c r="G15" t="s">
        <v>146</v>
      </c>
      <c r="H15" t="s">
        <v>74</v>
      </c>
      <c r="I15" t="s">
        <v>141</v>
      </c>
      <c r="J15" t="s">
        <v>147</v>
      </c>
      <c r="K15" t="s">
        <v>84</v>
      </c>
      <c r="L15" t="s">
        <v>52</v>
      </c>
      <c r="M15" t="s">
        <v>53</v>
      </c>
      <c r="N15" t="s">
        <v>54</v>
      </c>
      <c r="O15" t="s">
        <v>55</v>
      </c>
      <c r="Q15" t="s">
        <v>56</v>
      </c>
      <c r="S15" t="s">
        <v>54</v>
      </c>
    </row>
    <row r="16" spans="1:22" x14ac:dyDescent="0.3">
      <c r="A16" t="s">
        <v>148</v>
      </c>
      <c r="B16" t="s">
        <v>95</v>
      </c>
      <c r="C16" t="s">
        <v>149</v>
      </c>
      <c r="D16" t="s">
        <v>104</v>
      </c>
      <c r="E16" t="s">
        <v>150</v>
      </c>
      <c r="F16" t="s">
        <v>151</v>
      </c>
      <c r="G16" t="s">
        <v>152</v>
      </c>
      <c r="H16" t="s">
        <v>48</v>
      </c>
      <c r="I16" t="s">
        <v>49</v>
      </c>
      <c r="J16" t="s">
        <v>50</v>
      </c>
      <c r="K16" t="s">
        <v>51</v>
      </c>
      <c r="L16" t="s">
        <v>52</v>
      </c>
      <c r="M16" t="s">
        <v>53</v>
      </c>
      <c r="N16" t="s">
        <v>54</v>
      </c>
      <c r="O16" t="s">
        <v>55</v>
      </c>
      <c r="Q16" t="s">
        <v>56</v>
      </c>
      <c r="S16" t="s">
        <v>54</v>
      </c>
      <c r="U16" t="s">
        <v>153</v>
      </c>
    </row>
    <row r="17" spans="1:21" x14ac:dyDescent="0.3">
      <c r="A17" t="s">
        <v>154</v>
      </c>
      <c r="B17" t="s">
        <v>95</v>
      </c>
      <c r="C17" t="s">
        <v>155</v>
      </c>
      <c r="D17" t="s">
        <v>97</v>
      </c>
      <c r="E17" t="s">
        <v>156</v>
      </c>
      <c r="F17" t="s">
        <v>157</v>
      </c>
      <c r="G17" t="s">
        <v>158</v>
      </c>
      <c r="H17" t="s">
        <v>74</v>
      </c>
      <c r="I17" t="s">
        <v>49</v>
      </c>
      <c r="J17" t="s">
        <v>50</v>
      </c>
      <c r="K17" t="s">
        <v>51</v>
      </c>
      <c r="L17" t="s">
        <v>52</v>
      </c>
      <c r="M17" t="s">
        <v>53</v>
      </c>
      <c r="N17" t="s">
        <v>54</v>
      </c>
      <c r="O17" t="s">
        <v>55</v>
      </c>
      <c r="Q17" t="s">
        <v>56</v>
      </c>
      <c r="S17" t="s">
        <v>54</v>
      </c>
    </row>
    <row r="18" spans="1:21" x14ac:dyDescent="0.3">
      <c r="A18" t="s">
        <v>159</v>
      </c>
      <c r="B18" t="s">
        <v>95</v>
      </c>
      <c r="C18" t="s">
        <v>160</v>
      </c>
      <c r="D18" t="s">
        <v>97</v>
      </c>
      <c r="E18" t="s">
        <v>161</v>
      </c>
      <c r="F18" t="s">
        <v>162</v>
      </c>
      <c r="G18" t="s">
        <v>163</v>
      </c>
      <c r="H18" t="s">
        <v>74</v>
      </c>
      <c r="I18" t="s">
        <v>49</v>
      </c>
      <c r="J18" t="s">
        <v>50</v>
      </c>
      <c r="K18" t="s">
        <v>51</v>
      </c>
      <c r="L18" t="s">
        <v>52</v>
      </c>
      <c r="M18" t="s">
        <v>53</v>
      </c>
      <c r="N18" t="s">
        <v>54</v>
      </c>
      <c r="O18" t="s">
        <v>55</v>
      </c>
      <c r="Q18" t="s">
        <v>56</v>
      </c>
      <c r="S18" t="s">
        <v>54</v>
      </c>
    </row>
    <row r="19" spans="1:21" x14ac:dyDescent="0.3">
      <c r="A19" t="s">
        <v>164</v>
      </c>
      <c r="B19" t="s">
        <v>95</v>
      </c>
      <c r="C19" t="s">
        <v>165</v>
      </c>
      <c r="D19" t="s">
        <v>104</v>
      </c>
      <c r="E19" t="s">
        <v>166</v>
      </c>
      <c r="F19" t="s">
        <v>167</v>
      </c>
      <c r="G19" t="s">
        <v>168</v>
      </c>
      <c r="H19" t="s">
        <v>48</v>
      </c>
      <c r="I19" t="s">
        <v>49</v>
      </c>
      <c r="J19" t="s">
        <v>50</v>
      </c>
      <c r="K19" t="s">
        <v>51</v>
      </c>
      <c r="L19" t="s">
        <v>52</v>
      </c>
      <c r="M19" t="s">
        <v>53</v>
      </c>
      <c r="N19" t="s">
        <v>54</v>
      </c>
      <c r="O19" t="s">
        <v>55</v>
      </c>
      <c r="Q19" t="s">
        <v>56</v>
      </c>
      <c r="S19" t="s">
        <v>54</v>
      </c>
    </row>
    <row r="20" spans="1:21" x14ac:dyDescent="0.3">
      <c r="A20" t="s">
        <v>169</v>
      </c>
      <c r="B20" t="s">
        <v>95</v>
      </c>
      <c r="C20" t="s">
        <v>170</v>
      </c>
      <c r="D20" t="s">
        <v>171</v>
      </c>
      <c r="E20" t="s">
        <v>172</v>
      </c>
      <c r="F20" t="s">
        <v>173</v>
      </c>
      <c r="G20" t="s">
        <v>174</v>
      </c>
      <c r="H20" t="s">
        <v>74</v>
      </c>
      <c r="I20" t="s">
        <v>49</v>
      </c>
      <c r="J20" t="s">
        <v>50</v>
      </c>
      <c r="K20" t="s">
        <v>51</v>
      </c>
      <c r="L20" t="s">
        <v>52</v>
      </c>
      <c r="M20" t="s">
        <v>53</v>
      </c>
      <c r="N20" t="s">
        <v>54</v>
      </c>
      <c r="O20" t="s">
        <v>55</v>
      </c>
      <c r="Q20" t="s">
        <v>56</v>
      </c>
      <c r="S20" t="s">
        <v>54</v>
      </c>
    </row>
    <row r="21" spans="1:21" x14ac:dyDescent="0.3">
      <c r="A21" t="s">
        <v>175</v>
      </c>
      <c r="B21" t="s">
        <v>95</v>
      </c>
      <c r="C21" t="s">
        <v>176</v>
      </c>
      <c r="D21" t="s">
        <v>177</v>
      </c>
      <c r="E21" t="s">
        <v>178</v>
      </c>
      <c r="F21" t="s">
        <v>179</v>
      </c>
      <c r="G21" t="s">
        <v>180</v>
      </c>
      <c r="H21" t="s">
        <v>48</v>
      </c>
      <c r="I21" t="s">
        <v>49</v>
      </c>
      <c r="J21" t="s">
        <v>50</v>
      </c>
      <c r="K21" t="s">
        <v>51</v>
      </c>
      <c r="L21" t="s">
        <v>52</v>
      </c>
      <c r="M21" t="s">
        <v>53</v>
      </c>
      <c r="N21" t="s">
        <v>54</v>
      </c>
      <c r="O21" t="s">
        <v>55</v>
      </c>
      <c r="Q21" t="s">
        <v>56</v>
      </c>
      <c r="S21" t="s">
        <v>54</v>
      </c>
    </row>
    <row r="22" spans="1:21" x14ac:dyDescent="0.3">
      <c r="A22" t="s">
        <v>181</v>
      </c>
      <c r="B22" t="s">
        <v>95</v>
      </c>
      <c r="C22" t="s">
        <v>182</v>
      </c>
      <c r="D22" t="s">
        <v>104</v>
      </c>
      <c r="E22" t="s">
        <v>183</v>
      </c>
      <c r="F22" t="s">
        <v>184</v>
      </c>
      <c r="G22" t="s">
        <v>185</v>
      </c>
      <c r="H22" t="s">
        <v>48</v>
      </c>
      <c r="I22" t="s">
        <v>49</v>
      </c>
      <c r="J22" t="s">
        <v>50</v>
      </c>
      <c r="K22" t="s">
        <v>51</v>
      </c>
      <c r="L22" t="s">
        <v>52</v>
      </c>
      <c r="M22" t="s">
        <v>53</v>
      </c>
      <c r="N22" t="s">
        <v>54</v>
      </c>
      <c r="O22" t="s">
        <v>55</v>
      </c>
      <c r="Q22" t="s">
        <v>56</v>
      </c>
      <c r="S22" t="s">
        <v>54</v>
      </c>
    </row>
    <row r="23" spans="1:21" x14ac:dyDescent="0.3">
      <c r="A23" t="s">
        <v>186</v>
      </c>
      <c r="B23" t="s">
        <v>95</v>
      </c>
      <c r="C23" t="s">
        <v>187</v>
      </c>
      <c r="D23" t="s">
        <v>97</v>
      </c>
      <c r="E23" t="s">
        <v>188</v>
      </c>
      <c r="F23" t="s">
        <v>189</v>
      </c>
      <c r="G23" t="s">
        <v>190</v>
      </c>
      <c r="H23" t="s">
        <v>191</v>
      </c>
      <c r="I23" t="s">
        <v>49</v>
      </c>
      <c r="J23" t="s">
        <v>50</v>
      </c>
      <c r="K23" t="s">
        <v>51</v>
      </c>
      <c r="L23" t="s">
        <v>52</v>
      </c>
      <c r="M23" t="s">
        <v>53</v>
      </c>
      <c r="N23" t="s">
        <v>54</v>
      </c>
      <c r="O23" t="s">
        <v>55</v>
      </c>
      <c r="Q23" t="s">
        <v>56</v>
      </c>
      <c r="S23" t="s">
        <v>54</v>
      </c>
    </row>
    <row r="24" spans="1:21" x14ac:dyDescent="0.3">
      <c r="A24" t="s">
        <v>192</v>
      </c>
      <c r="B24" t="s">
        <v>193</v>
      </c>
      <c r="C24" t="s">
        <v>194</v>
      </c>
      <c r="D24" t="s">
        <v>104</v>
      </c>
      <c r="E24" t="s">
        <v>195</v>
      </c>
      <c r="F24" t="s">
        <v>196</v>
      </c>
      <c r="G24" t="s">
        <v>197</v>
      </c>
      <c r="H24" t="s">
        <v>48</v>
      </c>
      <c r="I24" t="s">
        <v>198</v>
      </c>
      <c r="J24" t="s">
        <v>199</v>
      </c>
      <c r="K24" t="s">
        <v>200</v>
      </c>
      <c r="L24" t="s">
        <v>201</v>
      </c>
      <c r="M24" t="s">
        <v>53</v>
      </c>
      <c r="N24" t="s">
        <v>202</v>
      </c>
      <c r="O24" t="s">
        <v>55</v>
      </c>
      <c r="P24" t="s">
        <v>203</v>
      </c>
      <c r="Q24" t="s">
        <v>204</v>
      </c>
      <c r="R24" t="s">
        <v>205</v>
      </c>
      <c r="S24" t="s">
        <v>202</v>
      </c>
      <c r="T24" t="s">
        <v>206</v>
      </c>
      <c r="U24" t="s">
        <v>207</v>
      </c>
    </row>
    <row r="25" spans="1:21" x14ac:dyDescent="0.3">
      <c r="A25" t="s">
        <v>208</v>
      </c>
      <c r="B25" t="s">
        <v>209</v>
      </c>
      <c r="C25" t="s">
        <v>210</v>
      </c>
      <c r="D25" t="s">
        <v>211</v>
      </c>
      <c r="E25" t="s">
        <v>212</v>
      </c>
      <c r="F25" t="s">
        <v>213</v>
      </c>
      <c r="G25" t="s">
        <v>214</v>
      </c>
      <c r="H25" t="s">
        <v>48</v>
      </c>
      <c r="I25" t="s">
        <v>83</v>
      </c>
      <c r="J25" t="s">
        <v>200</v>
      </c>
      <c r="K25" t="s">
        <v>215</v>
      </c>
      <c r="L25" t="s">
        <v>53</v>
      </c>
      <c r="M25" t="s">
        <v>54</v>
      </c>
      <c r="N25" t="s">
        <v>55</v>
      </c>
      <c r="P25" t="s">
        <v>204</v>
      </c>
      <c r="Q25" t="s">
        <v>212</v>
      </c>
      <c r="R25" t="s">
        <v>54</v>
      </c>
      <c r="T25" t="s">
        <v>216</v>
      </c>
    </row>
    <row r="26" spans="1:21" x14ac:dyDescent="0.3">
      <c r="A26" t="s">
        <v>217</v>
      </c>
      <c r="B26" t="s">
        <v>218</v>
      </c>
      <c r="C26" t="s">
        <v>219</v>
      </c>
      <c r="D26" t="s">
        <v>111</v>
      </c>
      <c r="E26" t="s">
        <v>220</v>
      </c>
      <c r="F26" t="s">
        <v>221</v>
      </c>
      <c r="G26" t="s">
        <v>222</v>
      </c>
      <c r="H26" t="s">
        <v>48</v>
      </c>
      <c r="I26" t="s">
        <v>218</v>
      </c>
      <c r="J26" t="s">
        <v>200</v>
      </c>
      <c r="K26" t="s">
        <v>223</v>
      </c>
      <c r="L26" t="s">
        <v>53</v>
      </c>
      <c r="M26" t="s">
        <v>54</v>
      </c>
      <c r="N26" t="s">
        <v>55</v>
      </c>
      <c r="P26" t="s">
        <v>204</v>
      </c>
      <c r="Q26" t="s">
        <v>224</v>
      </c>
      <c r="R26" t="s">
        <v>54</v>
      </c>
      <c r="T26" t="s">
        <v>225</v>
      </c>
    </row>
    <row r="27" spans="1:21" x14ac:dyDescent="0.3">
      <c r="A27" t="s">
        <v>226</v>
      </c>
      <c r="B27" t="s">
        <v>227</v>
      </c>
      <c r="C27" t="s">
        <v>228</v>
      </c>
      <c r="D27" t="s">
        <v>97</v>
      </c>
      <c r="E27" t="s">
        <v>229</v>
      </c>
      <c r="F27" t="s">
        <v>230</v>
      </c>
      <c r="G27" t="s">
        <v>231</v>
      </c>
      <c r="H27" t="s">
        <v>74</v>
      </c>
      <c r="I27" t="s">
        <v>199</v>
      </c>
      <c r="J27" t="s">
        <v>200</v>
      </c>
      <c r="K27" t="s">
        <v>232</v>
      </c>
      <c r="L27" t="s">
        <v>53</v>
      </c>
      <c r="M27" t="s">
        <v>54</v>
      </c>
      <c r="N27" t="s">
        <v>55</v>
      </c>
      <c r="P27" t="s">
        <v>204</v>
      </c>
      <c r="Q27" t="s">
        <v>227</v>
      </c>
      <c r="R27" t="s">
        <v>54</v>
      </c>
    </row>
  </sheetData>
  <dataValidations count="2">
    <dataValidation type="list" allowBlank="1" error="Selecciona un estado valido" sqref="N2:N27" xr:uid="{00000000-0002-0000-0100-000000000000}">
      <formula1>"Pendiente,Pasó,Falló,Bloqueado,N/A"</formula1>
    </dataValidation>
    <dataValidation type="list" allowBlank="1" sqref="M2:M27" xr:uid="{00000000-0002-0000-0100-000001000000}">
      <formula1>"Borrador,Aprobado,Obsoleto"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"/>
  <sheetViews>
    <sheetView workbookViewId="0"/>
  </sheetViews>
  <sheetFormatPr baseColWidth="10" defaultColWidth="8.88671875" defaultRowHeight="14.4" x14ac:dyDescent="0.3"/>
  <cols>
    <col min="1" max="1" width="10" customWidth="1"/>
    <col min="2" max="2" width="28" customWidth="1"/>
    <col min="3" max="3" width="32" customWidth="1"/>
    <col min="4" max="4" width="11" customWidth="1"/>
    <col min="5" max="5" width="13" customWidth="1"/>
  </cols>
  <sheetData>
    <row r="1" spans="1:5" x14ac:dyDescent="0.3">
      <c r="A1" s="3" t="s">
        <v>233</v>
      </c>
      <c r="B1" s="3" t="s">
        <v>234</v>
      </c>
      <c r="C1" s="3" t="s">
        <v>235</v>
      </c>
      <c r="D1" s="3" t="s">
        <v>26</v>
      </c>
      <c r="E1" s="3" t="s">
        <v>236</v>
      </c>
    </row>
    <row r="2" spans="1:5" x14ac:dyDescent="0.3">
      <c r="A2" t="s">
        <v>44</v>
      </c>
      <c r="B2" t="s">
        <v>237</v>
      </c>
      <c r="C2" t="s">
        <v>238</v>
      </c>
      <c r="D2" t="s">
        <v>239</v>
      </c>
      <c r="E2" t="s">
        <v>240</v>
      </c>
    </row>
    <row r="3" spans="1:5" x14ac:dyDescent="0.3">
      <c r="A3" t="s">
        <v>241</v>
      </c>
      <c r="B3" t="s">
        <v>242</v>
      </c>
      <c r="C3" t="s">
        <v>58</v>
      </c>
      <c r="D3" t="s">
        <v>239</v>
      </c>
      <c r="E3" t="s">
        <v>240</v>
      </c>
    </row>
    <row r="4" spans="1:5" x14ac:dyDescent="0.3">
      <c r="A4" t="s">
        <v>243</v>
      </c>
      <c r="B4" t="s">
        <v>244</v>
      </c>
      <c r="C4" t="s">
        <v>41</v>
      </c>
      <c r="D4" t="s">
        <v>239</v>
      </c>
      <c r="E4" t="s">
        <v>240</v>
      </c>
    </row>
    <row r="5" spans="1:5" x14ac:dyDescent="0.3">
      <c r="A5" t="s">
        <v>78</v>
      </c>
      <c r="B5" t="s">
        <v>245</v>
      </c>
      <c r="C5" t="s">
        <v>75</v>
      </c>
      <c r="D5" t="s">
        <v>246</v>
      </c>
      <c r="E5" t="s">
        <v>51</v>
      </c>
    </row>
    <row r="6" spans="1:5" x14ac:dyDescent="0.3">
      <c r="A6" t="s">
        <v>247</v>
      </c>
      <c r="B6" t="s">
        <v>248</v>
      </c>
      <c r="C6" t="s">
        <v>249</v>
      </c>
      <c r="D6" t="s">
        <v>239</v>
      </c>
      <c r="E6" t="s">
        <v>51</v>
      </c>
    </row>
    <row r="7" spans="1:5" x14ac:dyDescent="0.3">
      <c r="A7" t="s">
        <v>88</v>
      </c>
      <c r="B7" t="s">
        <v>250</v>
      </c>
      <c r="C7" t="s">
        <v>85</v>
      </c>
      <c r="D7" t="s">
        <v>239</v>
      </c>
      <c r="E7" t="s">
        <v>240</v>
      </c>
    </row>
    <row r="8" spans="1:5" x14ac:dyDescent="0.3">
      <c r="A8" t="s">
        <v>97</v>
      </c>
      <c r="B8" t="s">
        <v>251</v>
      </c>
      <c r="C8" t="s">
        <v>252</v>
      </c>
      <c r="D8" t="s">
        <v>239</v>
      </c>
      <c r="E8" t="s">
        <v>240</v>
      </c>
    </row>
    <row r="9" spans="1:5" x14ac:dyDescent="0.3">
      <c r="A9" t="s">
        <v>253</v>
      </c>
      <c r="B9" t="s">
        <v>254</v>
      </c>
      <c r="C9" t="s">
        <v>255</v>
      </c>
      <c r="D9" t="s">
        <v>239</v>
      </c>
      <c r="E9" t="s">
        <v>240</v>
      </c>
    </row>
    <row r="10" spans="1:5" x14ac:dyDescent="0.3">
      <c r="A10" t="s">
        <v>118</v>
      </c>
      <c r="B10" t="s">
        <v>256</v>
      </c>
      <c r="C10" t="s">
        <v>257</v>
      </c>
      <c r="D10" t="s">
        <v>239</v>
      </c>
      <c r="E10" t="s">
        <v>240</v>
      </c>
    </row>
    <row r="11" spans="1:5" x14ac:dyDescent="0.3">
      <c r="A11" t="s">
        <v>129</v>
      </c>
      <c r="B11" t="s">
        <v>127</v>
      </c>
      <c r="C11" t="s">
        <v>126</v>
      </c>
      <c r="D11" t="s">
        <v>246</v>
      </c>
      <c r="E11" t="s">
        <v>240</v>
      </c>
    </row>
    <row r="12" spans="1:5" x14ac:dyDescent="0.3">
      <c r="A12" t="s">
        <v>136</v>
      </c>
      <c r="B12" t="s">
        <v>258</v>
      </c>
      <c r="C12" t="s">
        <v>133</v>
      </c>
      <c r="D12" t="s">
        <v>246</v>
      </c>
      <c r="E12" t="s">
        <v>240</v>
      </c>
    </row>
    <row r="13" spans="1:5" x14ac:dyDescent="0.3">
      <c r="A13" t="s">
        <v>111</v>
      </c>
      <c r="B13" t="s">
        <v>259</v>
      </c>
      <c r="C13" t="s">
        <v>260</v>
      </c>
      <c r="D13" t="s">
        <v>239</v>
      </c>
      <c r="E13" t="s">
        <v>240</v>
      </c>
    </row>
    <row r="14" spans="1:5" x14ac:dyDescent="0.3">
      <c r="A14" t="s">
        <v>261</v>
      </c>
      <c r="B14" t="s">
        <v>262</v>
      </c>
      <c r="C14" t="s">
        <v>263</v>
      </c>
      <c r="D14" t="s">
        <v>239</v>
      </c>
      <c r="E14" t="s">
        <v>264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4"/>
  <sheetViews>
    <sheetView workbookViewId="0"/>
  </sheetViews>
  <sheetFormatPr baseColWidth="10" defaultColWidth="8.88671875" defaultRowHeight="14.4" x14ac:dyDescent="0.3"/>
  <cols>
    <col min="1" max="2" width="10" customWidth="1"/>
    <col min="3" max="3" width="12" customWidth="1"/>
    <col min="4" max="4" width="10" customWidth="1"/>
    <col min="5" max="5" width="31" customWidth="1"/>
    <col min="6" max="6" width="11" customWidth="1"/>
    <col min="7" max="7" width="14" customWidth="1"/>
    <col min="8" max="8" width="32" customWidth="1"/>
    <col min="9" max="9" width="17" customWidth="1"/>
  </cols>
  <sheetData>
    <row r="1" spans="1:9" x14ac:dyDescent="0.3">
      <c r="A1" s="3" t="s">
        <v>265</v>
      </c>
      <c r="B1" s="3" t="s">
        <v>266</v>
      </c>
      <c r="C1" s="3" t="s">
        <v>9</v>
      </c>
      <c r="D1" s="3" t="s">
        <v>35</v>
      </c>
      <c r="E1" s="3" t="s">
        <v>267</v>
      </c>
      <c r="F1" s="3" t="s">
        <v>37</v>
      </c>
      <c r="G1" s="3" t="s">
        <v>268</v>
      </c>
      <c r="H1" s="3" t="s">
        <v>269</v>
      </c>
      <c r="I1" s="3" t="s">
        <v>39</v>
      </c>
    </row>
    <row r="2" spans="1:9" x14ac:dyDescent="0.3">
      <c r="A2" t="s">
        <v>270</v>
      </c>
      <c r="B2" t="s">
        <v>192</v>
      </c>
      <c r="C2" t="s">
        <v>203</v>
      </c>
      <c r="D2" t="s">
        <v>204</v>
      </c>
      <c r="E2" t="s">
        <v>271</v>
      </c>
      <c r="F2" t="s">
        <v>202</v>
      </c>
      <c r="G2" t="s">
        <v>272</v>
      </c>
      <c r="H2" t="s">
        <v>206</v>
      </c>
      <c r="I2" t="s">
        <v>273</v>
      </c>
    </row>
    <row r="3" spans="1:9" x14ac:dyDescent="0.3">
      <c r="A3" t="s">
        <v>270</v>
      </c>
      <c r="B3" t="s">
        <v>41</v>
      </c>
      <c r="E3" t="s">
        <v>274</v>
      </c>
      <c r="F3" t="s">
        <v>54</v>
      </c>
    </row>
    <row r="4" spans="1:9" x14ac:dyDescent="0.3">
      <c r="A4" t="s">
        <v>270</v>
      </c>
      <c r="B4" t="s">
        <v>58</v>
      </c>
      <c r="E4" t="s">
        <v>274</v>
      </c>
      <c r="F4" t="s">
        <v>54</v>
      </c>
    </row>
    <row r="5" spans="1:9" x14ac:dyDescent="0.3">
      <c r="A5" t="s">
        <v>270</v>
      </c>
      <c r="B5" t="s">
        <v>64</v>
      </c>
      <c r="E5" t="s">
        <v>274</v>
      </c>
      <c r="F5" t="s">
        <v>54</v>
      </c>
    </row>
    <row r="6" spans="1:9" x14ac:dyDescent="0.3">
      <c r="A6" t="s">
        <v>270</v>
      </c>
      <c r="B6" t="s">
        <v>69</v>
      </c>
      <c r="E6" t="s">
        <v>274</v>
      </c>
      <c r="F6" t="s">
        <v>54</v>
      </c>
    </row>
    <row r="7" spans="1:9" x14ac:dyDescent="0.3">
      <c r="A7" t="s">
        <v>270</v>
      </c>
      <c r="B7" t="s">
        <v>75</v>
      </c>
      <c r="E7" t="s">
        <v>274</v>
      </c>
      <c r="F7" t="s">
        <v>54</v>
      </c>
    </row>
    <row r="8" spans="1:9" x14ac:dyDescent="0.3">
      <c r="A8" t="s">
        <v>270</v>
      </c>
      <c r="B8" t="s">
        <v>85</v>
      </c>
      <c r="E8" t="s">
        <v>274</v>
      </c>
      <c r="F8" t="s">
        <v>54</v>
      </c>
    </row>
    <row r="9" spans="1:9" x14ac:dyDescent="0.3">
      <c r="A9" t="s">
        <v>270</v>
      </c>
      <c r="B9" t="s">
        <v>94</v>
      </c>
      <c r="E9" t="s">
        <v>274</v>
      </c>
      <c r="F9" t="s">
        <v>54</v>
      </c>
    </row>
    <row r="10" spans="1:9" x14ac:dyDescent="0.3">
      <c r="A10" t="s">
        <v>270</v>
      </c>
      <c r="B10" t="s">
        <v>102</v>
      </c>
      <c r="E10" t="s">
        <v>274</v>
      </c>
      <c r="F10" t="s">
        <v>54</v>
      </c>
    </row>
    <row r="11" spans="1:9" x14ac:dyDescent="0.3">
      <c r="A11" t="s">
        <v>270</v>
      </c>
      <c r="B11" t="s">
        <v>109</v>
      </c>
      <c r="E11" t="s">
        <v>274</v>
      </c>
      <c r="F11" t="s">
        <v>54</v>
      </c>
    </row>
    <row r="12" spans="1:9" x14ac:dyDescent="0.3">
      <c r="A12" t="s">
        <v>270</v>
      </c>
      <c r="B12" t="s">
        <v>115</v>
      </c>
      <c r="E12" t="s">
        <v>274</v>
      </c>
      <c r="F12" t="s">
        <v>54</v>
      </c>
    </row>
    <row r="13" spans="1:9" x14ac:dyDescent="0.3">
      <c r="A13" t="s">
        <v>270</v>
      </c>
      <c r="B13" t="s">
        <v>122</v>
      </c>
      <c r="E13" t="s">
        <v>274</v>
      </c>
      <c r="F13" t="s">
        <v>54</v>
      </c>
    </row>
    <row r="14" spans="1:9" x14ac:dyDescent="0.3">
      <c r="A14" t="s">
        <v>270</v>
      </c>
      <c r="B14" t="s">
        <v>126</v>
      </c>
      <c r="E14" t="s">
        <v>274</v>
      </c>
      <c r="F14" t="s">
        <v>54</v>
      </c>
    </row>
    <row r="15" spans="1:9" x14ac:dyDescent="0.3">
      <c r="A15" t="s">
        <v>270</v>
      </c>
      <c r="B15" t="s">
        <v>133</v>
      </c>
      <c r="E15" t="s">
        <v>274</v>
      </c>
      <c r="F15" t="s">
        <v>54</v>
      </c>
    </row>
    <row r="16" spans="1:9" x14ac:dyDescent="0.3">
      <c r="A16" t="s">
        <v>270</v>
      </c>
      <c r="B16" t="s">
        <v>140</v>
      </c>
      <c r="E16" t="s">
        <v>274</v>
      </c>
      <c r="F16" t="s">
        <v>54</v>
      </c>
    </row>
    <row r="17" spans="1:6" x14ac:dyDescent="0.3">
      <c r="A17" t="s">
        <v>270</v>
      </c>
      <c r="B17" t="s">
        <v>148</v>
      </c>
      <c r="E17" t="s">
        <v>274</v>
      </c>
      <c r="F17" t="s">
        <v>54</v>
      </c>
    </row>
    <row r="18" spans="1:6" x14ac:dyDescent="0.3">
      <c r="A18" t="s">
        <v>270</v>
      </c>
      <c r="B18" t="s">
        <v>154</v>
      </c>
      <c r="E18" t="s">
        <v>274</v>
      </c>
      <c r="F18" t="s">
        <v>54</v>
      </c>
    </row>
    <row r="19" spans="1:6" x14ac:dyDescent="0.3">
      <c r="A19" t="s">
        <v>270</v>
      </c>
      <c r="B19" t="s">
        <v>159</v>
      </c>
      <c r="E19" t="s">
        <v>274</v>
      </c>
      <c r="F19" t="s">
        <v>54</v>
      </c>
    </row>
    <row r="20" spans="1:6" x14ac:dyDescent="0.3">
      <c r="A20" t="s">
        <v>270</v>
      </c>
      <c r="B20" t="s">
        <v>164</v>
      </c>
      <c r="E20" t="s">
        <v>274</v>
      </c>
      <c r="F20" t="s">
        <v>54</v>
      </c>
    </row>
    <row r="21" spans="1:6" x14ac:dyDescent="0.3">
      <c r="A21" t="s">
        <v>270</v>
      </c>
      <c r="B21" t="s">
        <v>169</v>
      </c>
      <c r="E21" t="s">
        <v>274</v>
      </c>
      <c r="F21" t="s">
        <v>54</v>
      </c>
    </row>
    <row r="22" spans="1:6" x14ac:dyDescent="0.3">
      <c r="A22" t="s">
        <v>270</v>
      </c>
      <c r="B22" t="s">
        <v>175</v>
      </c>
      <c r="E22" t="s">
        <v>274</v>
      </c>
      <c r="F22" t="s">
        <v>54</v>
      </c>
    </row>
    <row r="23" spans="1:6" x14ac:dyDescent="0.3">
      <c r="A23" t="s">
        <v>270</v>
      </c>
      <c r="B23" t="s">
        <v>181</v>
      </c>
      <c r="E23" t="s">
        <v>274</v>
      </c>
      <c r="F23" t="s">
        <v>54</v>
      </c>
    </row>
    <row r="24" spans="1:6" x14ac:dyDescent="0.3">
      <c r="A24" t="s">
        <v>270</v>
      </c>
      <c r="B24" t="s">
        <v>186</v>
      </c>
      <c r="E24" t="s">
        <v>274</v>
      </c>
      <c r="F24" t="s">
        <v>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"/>
  <sheetViews>
    <sheetView workbookViewId="0"/>
  </sheetViews>
  <sheetFormatPr baseColWidth="10" defaultColWidth="8.88671875" defaultRowHeight="14.4" x14ac:dyDescent="0.3"/>
  <cols>
    <col min="1" max="1" width="12" customWidth="1"/>
    <col min="2" max="2" width="36" customWidth="1"/>
    <col min="3" max="3" width="18" customWidth="1"/>
    <col min="4" max="5" width="11" customWidth="1"/>
    <col min="6" max="6" width="10" customWidth="1"/>
    <col min="7" max="7" width="26" customWidth="1"/>
    <col min="8" max="8" width="15" customWidth="1"/>
    <col min="9" max="9" width="10" customWidth="1"/>
    <col min="10" max="10" width="21" customWidth="1"/>
    <col min="11" max="11" width="10" customWidth="1"/>
    <col min="12" max="12" width="15" customWidth="1"/>
    <col min="13" max="13" width="14" customWidth="1"/>
    <col min="14" max="14" width="11" customWidth="1"/>
  </cols>
  <sheetData>
    <row r="1" spans="1:14" x14ac:dyDescent="0.3">
      <c r="A1" s="3" t="s">
        <v>40</v>
      </c>
      <c r="B1" s="3" t="s">
        <v>275</v>
      </c>
      <c r="C1" s="3" t="s">
        <v>276</v>
      </c>
      <c r="D1" s="3" t="s">
        <v>277</v>
      </c>
      <c r="E1" s="3" t="s">
        <v>26</v>
      </c>
      <c r="F1" s="3" t="s">
        <v>278</v>
      </c>
      <c r="G1" s="3" t="s">
        <v>279</v>
      </c>
      <c r="H1" s="3" t="s">
        <v>280</v>
      </c>
      <c r="I1" s="3" t="s">
        <v>281</v>
      </c>
      <c r="J1" s="3" t="s">
        <v>267</v>
      </c>
      <c r="K1" s="3" t="s">
        <v>282</v>
      </c>
      <c r="L1" s="3" t="s">
        <v>283</v>
      </c>
      <c r="M1" s="3" t="s">
        <v>284</v>
      </c>
      <c r="N1" s="3" t="s">
        <v>39</v>
      </c>
    </row>
    <row r="2" spans="1:14" x14ac:dyDescent="0.3">
      <c r="A2" t="s">
        <v>285</v>
      </c>
      <c r="B2" t="s">
        <v>286</v>
      </c>
      <c r="C2" t="s">
        <v>64</v>
      </c>
      <c r="D2" t="s">
        <v>246</v>
      </c>
      <c r="E2" t="s">
        <v>272</v>
      </c>
      <c r="F2" t="s">
        <v>287</v>
      </c>
      <c r="G2" t="s">
        <v>288</v>
      </c>
      <c r="H2" t="s">
        <v>289</v>
      </c>
      <c r="I2" t="s">
        <v>290</v>
      </c>
      <c r="J2" t="s">
        <v>291</v>
      </c>
      <c r="K2" t="s">
        <v>290</v>
      </c>
    </row>
  </sheetData>
  <dataValidations count="2">
    <dataValidation type="list" allowBlank="1" sqref="D2:D7" xr:uid="{00000000-0002-0000-0400-000000000000}">
      <formula1>"Crítica,Alta,Media,Baja"</formula1>
    </dataValidation>
    <dataValidation type="list" allowBlank="1" sqref="F2:F7" xr:uid="{00000000-0002-0000-0400-000001000000}">
      <formula1>"Nuevo,Asignado,En corrección,Verificado,Cerrado,Reabierto"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3"/>
  <sheetViews>
    <sheetView workbookViewId="0"/>
  </sheetViews>
  <sheetFormatPr baseColWidth="10" defaultColWidth="8.88671875" defaultRowHeight="14.4" x14ac:dyDescent="0.3"/>
  <cols>
    <col min="1" max="1" width="28" customWidth="1"/>
    <col min="2" max="2" width="50" customWidth="1"/>
  </cols>
  <sheetData>
    <row r="1" spans="1:2" ht="18" x14ac:dyDescent="0.35">
      <c r="A1" s="4" t="s">
        <v>292</v>
      </c>
    </row>
    <row r="3" spans="1:2" x14ac:dyDescent="0.3">
      <c r="A3" t="s">
        <v>293</v>
      </c>
      <c r="B3">
        <v>22</v>
      </c>
    </row>
    <row r="4" spans="1:2" x14ac:dyDescent="0.3">
      <c r="A4" t="s">
        <v>294</v>
      </c>
      <c r="B4">
        <v>4</v>
      </c>
    </row>
    <row r="6" spans="1:2" x14ac:dyDescent="0.3">
      <c r="A6" t="s">
        <v>295</v>
      </c>
      <c r="B6" t="s">
        <v>296</v>
      </c>
    </row>
    <row r="7" spans="1:2" x14ac:dyDescent="0.3">
      <c r="A7" t="s">
        <v>297</v>
      </c>
      <c r="B7" t="e">
        <f ca="1">CONTAR.SI('Casos de prueba'!N:N,"Pasó")+CONTAR.SI('Casos de prueba'!N:N,"Falló")</f>
        <v>#NAME?</v>
      </c>
    </row>
    <row r="8" spans="1:2" x14ac:dyDescent="0.3">
      <c r="A8" t="s">
        <v>298</v>
      </c>
      <c r="B8" t="e">
        <f ca="1">CONTAR.SI('Casos de prueba'!N:N,"Pasó")</f>
        <v>#NAME?</v>
      </c>
    </row>
    <row r="9" spans="1:2" x14ac:dyDescent="0.3">
      <c r="A9" t="s">
        <v>299</v>
      </c>
      <c r="B9" t="e">
        <f ca="1">CONTAR.SI('Casos de prueba'!N:N,"Falló")</f>
        <v>#NAME?</v>
      </c>
    </row>
    <row r="10" spans="1:2" x14ac:dyDescent="0.3">
      <c r="A10" t="s">
        <v>300</v>
      </c>
      <c r="B10" t="e">
        <f ca="1">CONTAR.SI('Casos de prueba'!N:N,"Pendiente")</f>
        <v>#NAME?</v>
      </c>
    </row>
    <row r="11" spans="1:2" x14ac:dyDescent="0.3">
      <c r="A11" t="s">
        <v>301</v>
      </c>
      <c r="B11" t="e">
        <f ca="1">CONTAR.SI('Casos de prueba'!N:N,"Bloqueado")</f>
        <v>#NAME?</v>
      </c>
    </row>
    <row r="12" spans="1:2" x14ac:dyDescent="0.3">
      <c r="A12" t="s">
        <v>302</v>
      </c>
      <c r="B12" t="e">
        <f ca="1">SI(B7+B10+B11&gt;0,B7/(B7+B10+B11),0)</f>
        <v>#NAME?</v>
      </c>
    </row>
    <row r="13" spans="1:2" x14ac:dyDescent="0.3">
      <c r="A13" t="s">
        <v>303</v>
      </c>
      <c r="B13" t="e">
        <f ca="1">CONTAR.SI(Defectos!F:F,"&lt;&gt;Cerrado")-CONTAR.SI(Defectos!F:F,"")</f>
        <v>#NAME?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Portada</vt:lpstr>
      <vt:lpstr>Casos de prueba</vt:lpstr>
      <vt:lpstr>Trazabilidad REQ</vt:lpstr>
      <vt:lpstr>Ejecución</vt:lpstr>
      <vt:lpstr>Defectos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randy emmanuel concha valle</cp:lastModifiedBy>
  <dcterms:created xsi:type="dcterms:W3CDTF">2026-05-31T17:12:16Z</dcterms:created>
  <dcterms:modified xsi:type="dcterms:W3CDTF">2026-05-31T17:14:21Z</dcterms:modified>
</cp:coreProperties>
</file>